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ncconsulting939-my.sharepoint.com/personal/joseph_mrad_linc-consulting_com/Documents/Projects/003-BT-WEE-25/Deliverables/"/>
    </mc:Choice>
  </mc:AlternateContent>
  <xr:revisionPtr revIDLastSave="510" documentId="13_ncr:1_{871D7E5C-F21D-48B7-A37A-3CF348677440}" xr6:coauthVersionLast="47" xr6:coauthVersionMax="47" xr10:uidLastSave="{AC8F5A42-73E3-4332-A127-568E15B76CBF}"/>
  <bookViews>
    <workbookView xWindow="-108" yWindow="-108" windowWidth="23256" windowHeight="13896" firstSheet="2" activeTab="2" xr2:uid="{00000000-000D-0000-FFFF-FFFF00000000}"/>
  </bookViews>
  <sheets>
    <sheet name="Simulation 1" sheetId="1" state="hidden" r:id="rId1"/>
    <sheet name="Options 1-3" sheetId="7" state="hidden" r:id="rId2"/>
    <sheet name="Dashboard" sheetId="8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8" l="1"/>
  <c r="E15" i="8"/>
  <c r="E16" i="8"/>
  <c r="E17" i="8"/>
  <c r="E18" i="8"/>
  <c r="E4" i="8" l="1"/>
  <c r="E5" i="8" s="1"/>
  <c r="G18" i="8"/>
  <c r="B6" i="8"/>
  <c r="B7" i="8"/>
  <c r="B8" i="8" s="1"/>
  <c r="B9" i="8" s="1"/>
  <c r="C13" i="8"/>
  <c r="D13" i="8"/>
  <c r="G13" i="8"/>
  <c r="I13" i="8"/>
  <c r="C14" i="8"/>
  <c r="D14" i="8"/>
  <c r="C15" i="8"/>
  <c r="D15" i="8" s="1"/>
  <c r="C16" i="8"/>
  <c r="D16" i="8" s="1"/>
  <c r="I16" i="8"/>
  <c r="C17" i="8"/>
  <c r="D17" i="8" s="1"/>
  <c r="C18" i="8"/>
  <c r="D18" i="8"/>
  <c r="I18" i="8"/>
  <c r="C19" i="8"/>
  <c r="D19" i="8"/>
  <c r="F19" i="8"/>
  <c r="G19" i="8"/>
  <c r="I19" i="8"/>
  <c r="J19" i="8"/>
  <c r="B21" i="8"/>
  <c r="C26" i="8"/>
  <c r="C27" i="8"/>
  <c r="C28" i="8"/>
  <c r="C29" i="8"/>
  <c r="K13" i="8" l="1"/>
  <c r="L13" i="8" s="1"/>
  <c r="E19" i="8"/>
  <c r="K19" i="8" s="1"/>
  <c r="L19" i="8" s="1"/>
  <c r="M19" i="8" s="1"/>
  <c r="N19" i="8" s="1"/>
  <c r="I14" i="8"/>
  <c r="G14" i="8"/>
  <c r="G17" i="8"/>
  <c r="F17" i="8"/>
  <c r="E6" i="8"/>
  <c r="E7" i="8" s="1"/>
  <c r="F16" i="8"/>
  <c r="G16" i="8"/>
  <c r="M13" i="8"/>
  <c r="I15" i="8"/>
  <c r="D21" i="8"/>
  <c r="F15" i="8"/>
  <c r="G15" i="8"/>
  <c r="F18" i="8"/>
  <c r="K17" i="8"/>
  <c r="L17" i="8" s="1"/>
  <c r="M17" i="8" s="1"/>
  <c r="N17" i="8" s="1"/>
  <c r="K14" i="8"/>
  <c r="L14" i="8" s="1"/>
  <c r="M14" i="8" s="1"/>
  <c r="N14" i="8" s="1"/>
  <c r="K15" i="8"/>
  <c r="L15" i="8" s="1"/>
  <c r="M15" i="8" s="1"/>
  <c r="N15" i="8" s="1"/>
  <c r="F13" i="8"/>
  <c r="C21" i="8"/>
  <c r="K16" i="8"/>
  <c r="L16" i="8" s="1"/>
  <c r="M16" i="8" s="1"/>
  <c r="N16" i="8" s="1"/>
  <c r="F14" i="8"/>
  <c r="K18" i="8"/>
  <c r="L18" i="8" s="1"/>
  <c r="M18" i="8" s="1"/>
  <c r="N18" i="8" s="1"/>
  <c r="I17" i="8"/>
  <c r="E21" i="8" l="1"/>
  <c r="G21" i="8"/>
  <c r="E9" i="8"/>
  <c r="J18" i="8" s="1"/>
  <c r="L21" i="8"/>
  <c r="K21" i="8"/>
  <c r="E8" i="8"/>
  <c r="F21" i="8"/>
  <c r="N13" i="8"/>
  <c r="N21" i="8" s="1"/>
  <c r="M21" i="8"/>
  <c r="I21" i="8"/>
  <c r="J15" i="8" l="1"/>
  <c r="J13" i="8"/>
  <c r="J14" i="8"/>
  <c r="J16" i="8"/>
  <c r="J17" i="8"/>
  <c r="J21" i="8" l="1"/>
  <c r="B21" i="7" l="1"/>
  <c r="D46" i="7"/>
  <c r="B46" i="7"/>
  <c r="D45" i="7"/>
  <c r="B45" i="7"/>
  <c r="D44" i="7"/>
  <c r="B44" i="7"/>
  <c r="D43" i="7"/>
  <c r="B43" i="7"/>
  <c r="D42" i="7"/>
  <c r="B42" i="7"/>
  <c r="D41" i="7"/>
  <c r="B41" i="7"/>
  <c r="J43" i="7"/>
  <c r="J44" i="7"/>
  <c r="J45" i="7"/>
  <c r="J46" i="7"/>
  <c r="J42" i="7"/>
  <c r="F30" i="7" l="1"/>
  <c r="D64" i="1"/>
  <c r="D68" i="1"/>
  <c r="B73" i="1"/>
  <c r="K73" i="1"/>
  <c r="B74" i="1"/>
  <c r="B75" i="1"/>
  <c r="B76" i="1"/>
  <c r="B77" i="1"/>
  <c r="B78" i="1"/>
  <c r="B82" i="1"/>
  <c r="B83" i="1"/>
  <c r="B84" i="1"/>
  <c r="B85" i="1"/>
  <c r="B86" i="1"/>
  <c r="B87" i="1"/>
  <c r="B42" i="1"/>
  <c r="B43" i="1"/>
  <c r="C25" i="1"/>
  <c r="B38" i="1" s="1"/>
  <c r="H25" i="1"/>
  <c r="C26" i="1"/>
  <c r="B39" i="1" s="1"/>
  <c r="H26" i="1"/>
  <c r="C27" i="1"/>
  <c r="B40" i="1" s="1"/>
  <c r="H27" i="1"/>
  <c r="C28" i="1"/>
  <c r="B41" i="1" s="1"/>
  <c r="C29" i="1"/>
  <c r="H29" i="1" s="1"/>
  <c r="C30" i="1"/>
  <c r="H30" i="1"/>
  <c r="B31" i="1"/>
  <c r="B25" i="7"/>
  <c r="F25" i="7" s="1"/>
  <c r="D31" i="7"/>
  <c r="D30" i="7"/>
  <c r="E30" i="7" s="1"/>
  <c r="B30" i="7"/>
  <c r="D29" i="7"/>
  <c r="E29" i="7" s="1"/>
  <c r="F29" i="7" s="1"/>
  <c r="B29" i="7"/>
  <c r="D28" i="7"/>
  <c r="E28" i="7" s="1"/>
  <c r="B28" i="7"/>
  <c r="D27" i="7"/>
  <c r="E27" i="7" s="1"/>
  <c r="B27" i="7"/>
  <c r="D26" i="7"/>
  <c r="E26" i="7" s="1"/>
  <c r="B26" i="7"/>
  <c r="K25" i="7"/>
  <c r="D25" i="7"/>
  <c r="D14" i="7"/>
  <c r="D9" i="7"/>
  <c r="E9" i="7" s="1"/>
  <c r="D10" i="7"/>
  <c r="E10" i="7" s="1"/>
  <c r="D11" i="7"/>
  <c r="E11" i="7" s="1"/>
  <c r="D12" i="7"/>
  <c r="E12" i="7" s="1"/>
  <c r="D13" i="7"/>
  <c r="E13" i="7" s="1"/>
  <c r="D8" i="7"/>
  <c r="B9" i="7"/>
  <c r="B10" i="7"/>
  <c r="B11" i="7"/>
  <c r="B12" i="7"/>
  <c r="B13" i="7"/>
  <c r="B8" i="7"/>
  <c r="K8" i="7"/>
  <c r="C18" i="1"/>
  <c r="E18" i="1" s="1"/>
  <c r="G64" i="1" s="1"/>
  <c r="E20" i="1"/>
  <c r="F20" i="1" s="1"/>
  <c r="F27" i="7" l="1"/>
  <c r="F26" i="7"/>
  <c r="F28" i="7"/>
  <c r="K7" i="7"/>
  <c r="F41" i="7"/>
  <c r="E14" i="7"/>
  <c r="H28" i="1"/>
  <c r="A64" i="1"/>
  <c r="F39" i="1"/>
  <c r="G74" i="1" s="1"/>
  <c r="N38" i="1"/>
  <c r="C40" i="1" s="1"/>
  <c r="F40" i="1"/>
  <c r="G75" i="1" s="1"/>
  <c r="F42" i="1"/>
  <c r="G77" i="1" s="1"/>
  <c r="F43" i="1"/>
  <c r="G78" i="1" s="1"/>
  <c r="F38" i="1"/>
  <c r="G73" i="1" s="1"/>
  <c r="F41" i="1"/>
  <c r="G76" i="1" s="1"/>
  <c r="H31" i="1"/>
  <c r="C31" i="1"/>
  <c r="F18" i="1"/>
  <c r="C19" i="1"/>
  <c r="A68" i="1" s="1"/>
  <c r="K24" i="7"/>
  <c r="G29" i="7"/>
  <c r="F12" i="7"/>
  <c r="G26" i="7"/>
  <c r="G27" i="7"/>
  <c r="G30" i="7"/>
  <c r="E31" i="7"/>
  <c r="F9" i="7"/>
  <c r="G9" i="7" s="1"/>
  <c r="F13" i="7"/>
  <c r="G13" i="7" s="1"/>
  <c r="F11" i="7"/>
  <c r="G11" i="7" s="1"/>
  <c r="F8" i="7"/>
  <c r="G8" i="7" s="1"/>
  <c r="F10" i="7"/>
  <c r="G10" i="7" s="1"/>
  <c r="F31" i="7" l="1"/>
  <c r="G31" i="7" s="1"/>
  <c r="H31" i="7" s="1"/>
  <c r="G41" i="7"/>
  <c r="F14" i="7"/>
  <c r="G14" i="7" s="1"/>
  <c r="K44" i="7"/>
  <c r="E44" i="7" s="1"/>
  <c r="F44" i="7" s="1"/>
  <c r="G44" i="7" s="1"/>
  <c r="K45" i="7"/>
  <c r="E45" i="7" s="1"/>
  <c r="F45" i="7" s="1"/>
  <c r="G45" i="7" s="1"/>
  <c r="K46" i="7"/>
  <c r="E46" i="7" s="1"/>
  <c r="F46" i="7" s="1"/>
  <c r="G46" i="7" s="1"/>
  <c r="K42" i="7"/>
  <c r="E42" i="7" s="1"/>
  <c r="F42" i="7" s="1"/>
  <c r="G42" i="7" s="1"/>
  <c r="K43" i="7"/>
  <c r="E43" i="7" s="1"/>
  <c r="F43" i="7" s="1"/>
  <c r="G43" i="7" s="1"/>
  <c r="G12" i="7"/>
  <c r="J64" i="1"/>
  <c r="K76" i="1"/>
  <c r="E40" i="1"/>
  <c r="E19" i="1"/>
  <c r="G68" i="1" s="1"/>
  <c r="C43" i="1"/>
  <c r="C39" i="1"/>
  <c r="C38" i="1"/>
  <c r="C41" i="1"/>
  <c r="C42" i="1"/>
  <c r="G25" i="7"/>
  <c r="K20" i="7"/>
  <c r="K3" i="7"/>
  <c r="G28" i="7"/>
  <c r="F19" i="1"/>
  <c r="J68" i="1" s="1"/>
  <c r="H25" i="7" l="1"/>
  <c r="H26" i="7"/>
  <c r="K26" i="7"/>
  <c r="H27" i="7"/>
  <c r="H30" i="7"/>
  <c r="H28" i="7"/>
  <c r="H29" i="7"/>
  <c r="H44" i="7"/>
  <c r="H43" i="7"/>
  <c r="H46" i="7"/>
  <c r="H41" i="7"/>
  <c r="H42" i="7"/>
  <c r="H45" i="7"/>
  <c r="K9" i="7"/>
  <c r="H9" i="7"/>
  <c r="H11" i="7"/>
  <c r="H8" i="7"/>
  <c r="H10" i="7"/>
  <c r="K10" i="7"/>
  <c r="H12" i="7"/>
  <c r="H13" i="7"/>
  <c r="H14" i="7"/>
  <c r="E38" i="1"/>
  <c r="E39" i="1"/>
  <c r="E43" i="1"/>
  <c r="E42" i="1"/>
  <c r="E41" i="1"/>
  <c r="K27" i="7"/>
  <c r="G18" i="1"/>
  <c r="H33" i="7" l="1"/>
  <c r="G41" i="1"/>
  <c r="I41" i="1" s="1"/>
  <c r="G38" i="1"/>
  <c r="G42" i="1"/>
  <c r="I42" i="1" s="1"/>
  <c r="G39" i="1"/>
  <c r="I39" i="1" s="1"/>
  <c r="G43" i="1"/>
  <c r="I43" i="1" s="1"/>
  <c r="G40" i="1"/>
  <c r="I40" i="1" s="1"/>
  <c r="E26" i="1"/>
  <c r="E29" i="1"/>
  <c r="B54" i="1" l="1"/>
  <c r="B57" i="1"/>
  <c r="B53" i="1"/>
  <c r="B56" i="1"/>
  <c r="N40" i="1"/>
  <c r="I38" i="1"/>
  <c r="J41" i="1" s="1"/>
  <c r="B55" i="1"/>
  <c r="E27" i="1"/>
  <c r="E28" i="1"/>
  <c r="E30" i="1"/>
  <c r="H41" i="1" l="1"/>
  <c r="E76" i="1" s="1"/>
  <c r="C76" i="1"/>
  <c r="C85" i="1"/>
  <c r="N39" i="1"/>
  <c r="J38" i="1"/>
  <c r="B52" i="1"/>
  <c r="C54" i="1" s="1"/>
  <c r="E25" i="1"/>
  <c r="E31" i="1" s="1"/>
  <c r="J42" i="1"/>
  <c r="C56" i="1"/>
  <c r="J39" i="1"/>
  <c r="C53" i="1"/>
  <c r="J43" i="1"/>
  <c r="J40" i="1"/>
  <c r="D28" i="1"/>
  <c r="H43" i="1" l="1"/>
  <c r="E78" i="1" s="1"/>
  <c r="C78" i="1"/>
  <c r="C87" i="1"/>
  <c r="C74" i="1"/>
  <c r="C83" i="1"/>
  <c r="D30" i="1"/>
  <c r="C84" i="1"/>
  <c r="C75" i="1"/>
  <c r="C86" i="1"/>
  <c r="C77" i="1"/>
  <c r="C82" i="1"/>
  <c r="C73" i="1"/>
  <c r="E54" i="1"/>
  <c r="H40" i="1"/>
  <c r="E75" i="1" s="1"/>
  <c r="D27" i="1"/>
  <c r="E53" i="1"/>
  <c r="E56" i="1"/>
  <c r="H42" i="1"/>
  <c r="E77" i="1" s="1"/>
  <c r="D29" i="1"/>
  <c r="H38" i="1"/>
  <c r="E73" i="1" s="1"/>
  <c r="D25" i="1"/>
  <c r="H39" i="1"/>
  <c r="E74" i="1" s="1"/>
  <c r="D26" i="1"/>
  <c r="F54" i="1"/>
  <c r="H75" i="1" s="1"/>
  <c r="F57" i="1"/>
  <c r="N52" i="1"/>
  <c r="G19" i="1" s="1"/>
  <c r="F56" i="1"/>
  <c r="F52" i="1"/>
  <c r="F55" i="1"/>
  <c r="F53" i="1"/>
  <c r="H74" i="1" s="1"/>
  <c r="C52" i="1"/>
  <c r="C57" i="1"/>
  <c r="C55" i="1"/>
  <c r="G55" i="1" l="1"/>
  <c r="I55" i="1" s="1"/>
  <c r="G28" i="1" s="1"/>
  <c r="H76" i="1"/>
  <c r="K74" i="1"/>
  <c r="G52" i="1"/>
  <c r="I52" i="1" s="1"/>
  <c r="H73" i="1"/>
  <c r="G56" i="1"/>
  <c r="I56" i="1" s="1"/>
  <c r="G29" i="1" s="1"/>
  <c r="H77" i="1"/>
  <c r="G57" i="1"/>
  <c r="I57" i="1" s="1"/>
  <c r="G30" i="1" s="1"/>
  <c r="H78" i="1"/>
  <c r="E52" i="1"/>
  <c r="G54" i="1"/>
  <c r="I54" i="1" s="1"/>
  <c r="E55" i="1"/>
  <c r="E57" i="1"/>
  <c r="D31" i="1"/>
  <c r="G53" i="1"/>
  <c r="I53" i="1" s="1"/>
  <c r="G25" i="1"/>
  <c r="J56" i="1" l="1"/>
  <c r="D77" i="1" s="1"/>
  <c r="H56" i="1"/>
  <c r="F77" i="1" s="1"/>
  <c r="J52" i="1"/>
  <c r="F25" i="1" s="1"/>
  <c r="N54" i="1"/>
  <c r="J54" i="1"/>
  <c r="G27" i="1"/>
  <c r="J53" i="1"/>
  <c r="G26" i="1"/>
  <c r="G31" i="1" s="1"/>
  <c r="N53" i="1"/>
  <c r="K77" i="1" s="1"/>
  <c r="J57" i="1"/>
  <c r="J55" i="1"/>
  <c r="F29" i="1"/>
  <c r="D86" i="1" l="1"/>
  <c r="H55" i="1"/>
  <c r="F76" i="1" s="1"/>
  <c r="D85" i="1"/>
  <c r="D76" i="1"/>
  <c r="H57" i="1"/>
  <c r="F78" i="1" s="1"/>
  <c r="D87" i="1"/>
  <c r="D78" i="1"/>
  <c r="H53" i="1"/>
  <c r="F74" i="1" s="1"/>
  <c r="D83" i="1"/>
  <c r="D74" i="1"/>
  <c r="H54" i="1"/>
  <c r="F75" i="1" s="1"/>
  <c r="D75" i="1"/>
  <c r="D84" i="1"/>
  <c r="F30" i="1"/>
  <c r="H52" i="1"/>
  <c r="F73" i="1" s="1"/>
  <c r="D82" i="1"/>
  <c r="D73" i="1"/>
  <c r="F27" i="1"/>
  <c r="F26" i="1"/>
  <c r="F28" i="1"/>
  <c r="F31" i="1"/>
  <c r="G20" i="1"/>
  <c r="K75" i="1" l="1"/>
</calcChain>
</file>

<file path=xl/sharedStrings.xml><?xml version="1.0" encoding="utf-8"?>
<sst xmlns="http://schemas.openxmlformats.org/spreadsheetml/2006/main" count="301" uniqueCount="172">
  <si>
    <t>Dynamic Cap Table &amp; Dilution Dashboard - Assumptions</t>
  </si>
  <si>
    <t>General Assumptions</t>
  </si>
  <si>
    <t>Starting Shares Outstanding</t>
  </si>
  <si>
    <t>ESOP Pool %</t>
  </si>
  <si>
    <t>Currency</t>
  </si>
  <si>
    <t>USD</t>
  </si>
  <si>
    <t>Round 1 Year</t>
  </si>
  <si>
    <t>Round 2 Year</t>
  </si>
  <si>
    <t>Round 3 Year</t>
  </si>
  <si>
    <t>Funding Rounds</t>
  </si>
  <si>
    <t>Round</t>
  </si>
  <si>
    <t>Year</t>
  </si>
  <si>
    <t>Pre-Money Valuation ($)</t>
  </si>
  <si>
    <t>Investment Amount ($)</t>
  </si>
  <si>
    <t>Post-Money Valuation ($)</t>
  </si>
  <si>
    <t>Round Dilution %</t>
  </si>
  <si>
    <t>Share Price ($)</t>
  </si>
  <si>
    <t>Round 1</t>
  </si>
  <si>
    <t>Round 2</t>
  </si>
  <si>
    <t>Round 3</t>
  </si>
  <si>
    <t>Current Cap Table</t>
  </si>
  <si>
    <t>Investor Name</t>
  </si>
  <si>
    <t>Current Ownership</t>
  </si>
  <si>
    <t>Initial Shares</t>
  </si>
  <si>
    <t>2026 Ownership</t>
  </si>
  <si>
    <t>2026 Shares</t>
  </si>
  <si>
    <t>2027 Ownership</t>
  </si>
  <si>
    <t>2027 Shares</t>
  </si>
  <si>
    <t>Total Shares</t>
  </si>
  <si>
    <t>K Group Holding</t>
  </si>
  <si>
    <t>Joseph Sioufi</t>
  </si>
  <si>
    <t>Jihad Bakradon</t>
  </si>
  <si>
    <t>Rsheid Khazen</t>
  </si>
  <si>
    <t>Dany Germanos</t>
  </si>
  <si>
    <t>Saleh Khazen</t>
  </si>
  <si>
    <t>Total</t>
  </si>
  <si>
    <t>Dilution Engine - Participation &amp; Share-Based Dilution</t>
  </si>
  <si>
    <t>Round 1 / 2026</t>
  </si>
  <si>
    <t>Investor</t>
  </si>
  <si>
    <t>Opening Shares</t>
  </si>
  <si>
    <t>Opening Ownership</t>
  </si>
  <si>
    <t>Participates?</t>
  </si>
  <si>
    <t>Required Pro-Rata Investment</t>
  </si>
  <si>
    <t>Auto-Allocated Contribution</t>
  </si>
  <si>
    <t>New Shares Purchased</t>
  </si>
  <si>
    <t>Dilution %</t>
  </si>
  <si>
    <t>Ending Shares</t>
  </si>
  <si>
    <t>Ending Ownership</t>
  </si>
  <si>
    <t>Round 1 Summary</t>
  </si>
  <si>
    <t>Value</t>
  </si>
  <si>
    <t>Yes</t>
  </si>
  <si>
    <t>Opening Total Shares</t>
  </si>
  <si>
    <t>Ending Total Shares</t>
  </si>
  <si>
    <t>New Shares Issued</t>
  </si>
  <si>
    <t>Round 2 / 2027</t>
  </si>
  <si>
    <t>Round 2 Summary</t>
  </si>
  <si>
    <t>Investor Dilution &amp; Cap Table Dashboard</t>
  </si>
  <si>
    <t>Pre-Money 2026</t>
  </si>
  <si>
    <t>Investment 2026</t>
  </si>
  <si>
    <t>Post-Money 2026</t>
  </si>
  <si>
    <t>Round Dilution 2026</t>
  </si>
  <si>
    <t>Pre-Money 2027</t>
  </si>
  <si>
    <t>Investment 2027</t>
  </si>
  <si>
    <t>Post-Money 2027</t>
  </si>
  <si>
    <t>Round Dilution 2027</t>
  </si>
  <si>
    <t>Current %</t>
  </si>
  <si>
    <t>2026 %</t>
  </si>
  <si>
    <t>2027 %</t>
  </si>
  <si>
    <t>2026 Dilution</t>
  </si>
  <si>
    <t>2027 Dilution</t>
  </si>
  <si>
    <t>Required 2026 Investment</t>
  </si>
  <si>
    <t>Required 2027 Investment</t>
  </si>
  <si>
    <t>Metric</t>
  </si>
  <si>
    <t>Comment</t>
  </si>
  <si>
    <t>Total Capital Raised</t>
  </si>
  <si>
    <t>Sum of entered round investments</t>
  </si>
  <si>
    <t>Largest 2026 Dilution</t>
  </si>
  <si>
    <t>Highest ownership drop in 2026</t>
  </si>
  <si>
    <t>Largest 2027 Dilution</t>
  </si>
  <si>
    <t>Highest ownership drop in 2027</t>
  </si>
  <si>
    <t>2026 New Investor Ownership</t>
  </si>
  <si>
    <t>Investment / Post-money</t>
  </si>
  <si>
    <t>Fully Diluted Shares 2027</t>
  </si>
  <si>
    <t>Total shares after 2027</t>
  </si>
  <si>
    <t>Current</t>
  </si>
  <si>
    <t>2026</t>
  </si>
  <si>
    <t>2027</t>
  </si>
  <si>
    <t>Company Valuation (Pre-money)</t>
  </si>
  <si>
    <t>Check Total Investment</t>
  </si>
  <si>
    <t>Required Investment</t>
  </si>
  <si>
    <t>Shareholder</t>
  </si>
  <si>
    <t>Current Shares</t>
  </si>
  <si>
    <t>Total Shares After Round</t>
  </si>
  <si>
    <t>New Ownership %</t>
  </si>
  <si>
    <t>Price per Existing Share</t>
  </si>
  <si>
    <t>Post-money Valuation</t>
  </si>
  <si>
    <t>Total New Shares Issued</t>
  </si>
  <si>
    <t xml:space="preserve">Shares </t>
  </si>
  <si>
    <t>Actual Investment</t>
  </si>
  <si>
    <t>External Party</t>
  </si>
  <si>
    <t>Jihad Pakradon</t>
  </si>
  <si>
    <t>When the 500 K is distributed fairly</t>
  </si>
  <si>
    <t xml:space="preserve"> among Investors cause K Group is investing in 100.</t>
  </si>
  <si>
    <t>Option 1- Valuation is considered 5M &amp; The 500K is given to an external party</t>
  </si>
  <si>
    <t>Option 2 - Valuation is considered 6M &amp; the 500K is given to an external party</t>
  </si>
  <si>
    <t>Set to zero when existing investors cover full round</t>
  </si>
  <si>
    <t>Amount not covered by existing shareholders</t>
  </si>
  <si>
    <t>External fill</t>
  </si>
  <si>
    <t>The denominator changes after the round</t>
  </si>
  <si>
    <t>Final shares divided by total post-round shares</t>
  </si>
  <si>
    <t>Final ownership</t>
  </si>
  <si>
    <t>This drives ownership increase</t>
  </si>
  <si>
    <t>Actual investment divided by price per share</t>
  </si>
  <si>
    <t>New shares issued</t>
  </si>
  <si>
    <t>Uses fixed pre-money price</t>
  </si>
  <si>
    <t>Pre-money valuation divided by existing shares</t>
  </si>
  <si>
    <t>Price per share</t>
  </si>
  <si>
    <t>Excel Logic</t>
  </si>
  <si>
    <t>Meaning</t>
  </si>
  <si>
    <t>Formula</t>
  </si>
  <si>
    <t>Key logic: shares are issued at the fixed pre-money price per share. Existing investors may enter any Actual Investment amount. Any remaining required investment is automatically filled by External Party.</t>
  </si>
  <si>
    <t>Auto</t>
  </si>
  <si>
    <t>External Party (auto-fill)</t>
  </si>
  <si>
    <t>No</t>
  </si>
  <si>
    <t>Rshied Khazen</t>
  </si>
  <si>
    <t>Change vs Current %</t>
  </si>
  <si>
    <t>Excess Allocation %</t>
  </si>
  <si>
    <t>Excess Investment</t>
  </si>
  <si>
    <t>Oversubscribe?</t>
  </si>
  <si>
    <t>Shortfall Investment</t>
  </si>
  <si>
    <t>Pro-rata Shares</t>
  </si>
  <si>
    <t>Pro-rata Investment</t>
  </si>
  <si>
    <t>Total Eligible Excess</t>
  </si>
  <si>
    <t>Total Existing Shortfall</t>
  </si>
  <si>
    <t>Over / (Under) Funding</t>
  </si>
  <si>
    <t>Total Investment Check</t>
  </si>
  <si>
    <t>External Investor Fill</t>
  </si>
  <si>
    <t>Existing Shares</t>
  </si>
  <si>
    <t>Total Existing Actual Investment</t>
  </si>
  <si>
    <t>Required Investment Round</t>
  </si>
  <si>
    <t>Round Check</t>
  </si>
  <si>
    <t>A 5x pro-rata investment does not equal exactly +4 percentage points.</t>
  </si>
  <si>
    <t>The total share denominator changes after the financing round.</t>
  </si>
  <si>
    <t>Ownership does not increase linearly with investment.</t>
  </si>
  <si>
    <t>Important</t>
  </si>
  <si>
    <t>Joseph becomes about 10.65% if he invests $262,500</t>
  </si>
  <si>
    <t>These are the actual economic outputs.</t>
  </si>
  <si>
    <t>Read New Ownership % and Change vs Current %.</t>
  </si>
  <si>
    <t>5</t>
  </si>
  <si>
    <t>If existing investors cover full $750k, external = zero</t>
  </si>
  <si>
    <t>It fills any amount not covered by current investors.</t>
  </si>
  <si>
    <t>External Party is automatic.</t>
  </si>
  <si>
    <t>4</t>
  </si>
  <si>
    <t>Joseph = Yes</t>
  </si>
  <si>
    <t>This flags the excess participation pool for analysis.</t>
  </si>
  <si>
    <t>Set Oversubscribe? to Yes for investors allowed to buy more than pro-rata.</t>
  </si>
  <si>
    <t>3</t>
  </si>
  <si>
    <t>Joseph = $262,500</t>
  </si>
  <si>
    <t>The model calculates new shares from actual cash paid.</t>
  </si>
  <si>
    <t>Enter each existing investor Actual Investment in the yellow input column.</t>
  </si>
  <si>
    <t>2</t>
  </si>
  <si>
    <t>$5.0m pre-money; $750k round</t>
  </si>
  <si>
    <t>These define price per share and total dilution.</t>
  </si>
  <si>
    <t>Change Pre-money, Required Investment, and Existing Shares in yellow cells.</t>
  </si>
  <si>
    <t>1</t>
  </si>
  <si>
    <t>Example</t>
  </si>
  <si>
    <t>Why it matters</t>
  </si>
  <si>
    <t>What to do</t>
  </si>
  <si>
    <t>Step</t>
  </si>
  <si>
    <t>How to Use This Model</t>
  </si>
  <si>
    <t xml:space="preserve">Option 3 - Valuation is considered 6M &amp; the 500K is distributed among current shareholders as per their current shares </t>
  </si>
  <si>
    <t>Option 4 - Pro-Rata + Oversubscription Cap Table Model as per the willingness of each investor to invest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</si>
</sst>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;[Red]\(#,##0\);\-"/>
    <numFmt numFmtId="165" formatCode="0.0%"/>
    <numFmt numFmtId="166" formatCode="\$#,##0;[Red]\(\$#,##0\);\-"/>
    <numFmt numFmtId="167" formatCode="0.0%;[Red]\(0.0%\);\-"/>
    <numFmt numFmtId="168" formatCode="_(* #,##0_);_(* \(#,##0\);_(* &quot;-&quot;??_);_(@_)"/>
    <numFmt numFmtId="169" formatCode="0.0000%"/>
    <numFmt numFmtId="170" formatCode="0.00%;[Red]\(0.00%\);\-"/>
    <numFmt numFmtId="171" formatCode="#,##0.00;[Red]\(#,##0.00\);\-"/>
  </numFmts>
  <fonts count="23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rlito"/>
    </font>
    <font>
      <sz val="11"/>
      <color rgb="FF000000"/>
      <name val="Carlito"/>
    </font>
    <font>
      <b/>
      <sz val="11"/>
      <color rgb="FF0B1F3A"/>
      <name val="Carlito"/>
    </font>
    <font>
      <sz val="10"/>
      <name val="Aptos"/>
    </font>
    <font>
      <sz val="11"/>
      <name val="Carlito"/>
    </font>
    <font>
      <b/>
      <sz val="11"/>
      <color theme="0"/>
      <name val="Carlito"/>
    </font>
    <font>
      <sz val="11"/>
      <color rgb="FFFF5B00"/>
      <name val="Carlito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rlito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5B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4851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rgb="FF4897AE"/>
        <bgColor indexed="64"/>
      </patternFill>
    </fill>
    <fill>
      <patternFill patternType="solid">
        <fgColor rgb="FFFF5B00"/>
        <bgColor indexed="64"/>
      </patternFill>
    </fill>
    <fill>
      <patternFill patternType="solid">
        <fgColor rgb="FFFFDFC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C54"/>
      </patternFill>
    </fill>
    <fill>
      <patternFill patternType="solid">
        <fgColor rgb="FFD9EEF2"/>
      </patternFill>
    </fill>
    <fill>
      <patternFill patternType="solid">
        <fgColor rgb="FFE7E6E6"/>
      </patternFill>
    </fill>
    <fill>
      <patternFill patternType="solid">
        <fgColor rgb="FF4F9AAA"/>
      </patternFill>
    </fill>
    <fill>
      <patternFill patternType="solid">
        <fgColor rgb="FFFF5A0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14"/>
    <xf numFmtId="0" fontId="8" fillId="0" borderId="14"/>
  </cellStyleXfs>
  <cellXfs count="118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5" fontId="0" fillId="0" borderId="2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3" xfId="0" applyNumberFormat="1" applyBorder="1"/>
    <xf numFmtId="164" fontId="0" fillId="0" borderId="6" xfId="0" applyNumberFormat="1" applyBorder="1"/>
    <xf numFmtId="167" fontId="0" fillId="0" borderId="2" xfId="0" applyNumberFormat="1" applyBorder="1"/>
    <xf numFmtId="167" fontId="0" fillId="0" borderId="5" xfId="0" applyNumberFormat="1" applyBorder="1"/>
    <xf numFmtId="166" fontId="0" fillId="0" borderId="2" xfId="0" applyNumberFormat="1" applyBorder="1"/>
    <xf numFmtId="166" fontId="0" fillId="0" borderId="5" xfId="0" applyNumberFormat="1" applyBorder="1"/>
    <xf numFmtId="166" fontId="0" fillId="0" borderId="0" xfId="0" applyNumberFormat="1"/>
    <xf numFmtId="166" fontId="0" fillId="0" borderId="3" xfId="0" applyNumberFormat="1" applyBorder="1"/>
    <xf numFmtId="166" fontId="0" fillId="0" borderId="6" xfId="0" applyNumberFormat="1" applyBorder="1"/>
    <xf numFmtId="165" fontId="0" fillId="0" borderId="0" xfId="0" applyNumberFormat="1"/>
    <xf numFmtId="3" fontId="0" fillId="0" borderId="0" xfId="0" applyNumberFormat="1"/>
    <xf numFmtId="0" fontId="7" fillId="0" borderId="0" xfId="0" applyFont="1"/>
    <xf numFmtId="0" fontId="0" fillId="2" borderId="0" xfId="0" applyFill="1"/>
    <xf numFmtId="0" fontId="0" fillId="3" borderId="0" xfId="0" applyFill="1" applyAlignment="1">
      <alignment horizontal="left" vertical="center" wrapText="1"/>
    </xf>
    <xf numFmtId="0" fontId="0" fillId="4" borderId="0" xfId="0" applyFill="1"/>
    <xf numFmtId="0" fontId="0" fillId="5" borderId="0" xfId="0" applyFill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166" fontId="5" fillId="0" borderId="0" xfId="0" applyNumberFormat="1" applyFont="1"/>
    <xf numFmtId="165" fontId="5" fillId="0" borderId="0" xfId="0" applyNumberFormat="1" applyFont="1"/>
    <xf numFmtId="0" fontId="10" fillId="0" borderId="0" xfId="0" applyFont="1"/>
    <xf numFmtId="166" fontId="10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1" fontId="10" fillId="0" borderId="0" xfId="0" applyNumberFormat="1" applyFont="1"/>
    <xf numFmtId="9" fontId="9" fillId="4" borderId="0" xfId="2" applyFont="1" applyFill="1" applyAlignment="1">
      <alignment horizontal="left" vertical="center"/>
    </xf>
    <xf numFmtId="168" fontId="9" fillId="4" borderId="0" xfId="1" applyNumberFormat="1" applyFont="1" applyFill="1" applyAlignment="1">
      <alignment horizontal="left" vertical="center"/>
    </xf>
    <xf numFmtId="0" fontId="9" fillId="2" borderId="0" xfId="0" applyFont="1" applyFill="1"/>
    <xf numFmtId="0" fontId="10" fillId="0" borderId="2" xfId="0" applyFont="1" applyBorder="1"/>
    <xf numFmtId="0" fontId="10" fillId="0" borderId="5" xfId="0" applyFont="1" applyBorder="1"/>
    <xf numFmtId="0" fontId="9" fillId="2" borderId="0" xfId="0" applyFont="1" applyFill="1" applyAlignment="1">
      <alignment vertical="center"/>
    </xf>
    <xf numFmtId="168" fontId="3" fillId="0" borderId="14" xfId="1" applyNumberFormat="1" applyFont="1" applyBorder="1"/>
    <xf numFmtId="0" fontId="12" fillId="5" borderId="0" xfId="0" applyFont="1" applyFill="1" applyAlignment="1">
      <alignment horizontal="left" vertical="center" wrapText="1"/>
    </xf>
    <xf numFmtId="0" fontId="3" fillId="0" borderId="14" xfId="3"/>
    <xf numFmtId="3" fontId="3" fillId="0" borderId="14" xfId="3" applyNumberFormat="1"/>
    <xf numFmtId="10" fontId="3" fillId="0" borderId="14" xfId="3" applyNumberFormat="1"/>
    <xf numFmtId="168" fontId="3" fillId="0" borderId="14" xfId="3" applyNumberFormat="1"/>
    <xf numFmtId="0" fontId="11" fillId="2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/>
    </xf>
    <xf numFmtId="168" fontId="5" fillId="0" borderId="0" xfId="1" applyNumberFormat="1" applyFont="1"/>
    <xf numFmtId="0" fontId="2" fillId="0" borderId="14" xfId="3" applyFont="1"/>
    <xf numFmtId="9" fontId="3" fillId="0" borderId="14" xfId="2" applyFont="1" applyBorder="1"/>
    <xf numFmtId="169" fontId="3" fillId="0" borderId="14" xfId="2" applyNumberFormat="1" applyFont="1" applyBorder="1"/>
    <xf numFmtId="0" fontId="14" fillId="0" borderId="14" xfId="3" applyFont="1"/>
    <xf numFmtId="0" fontId="11" fillId="4" borderId="0" xfId="0" applyFont="1" applyFill="1" applyAlignment="1">
      <alignment horizontal="center" vertical="center"/>
    </xf>
    <xf numFmtId="168" fontId="3" fillId="7" borderId="14" xfId="1" applyNumberFormat="1" applyFont="1" applyFill="1" applyBorder="1"/>
    <xf numFmtId="9" fontId="1" fillId="0" borderId="14" xfId="2" applyFont="1" applyBorder="1"/>
    <xf numFmtId="43" fontId="3" fillId="0" borderId="14" xfId="1" applyFont="1" applyBorder="1"/>
    <xf numFmtId="0" fontId="1" fillId="0" borderId="14" xfId="3" applyFont="1"/>
    <xf numFmtId="9" fontId="14" fillId="7" borderId="14" xfId="3" applyNumberFormat="1" applyFont="1" applyFill="1"/>
    <xf numFmtId="3" fontId="1" fillId="0" borderId="14" xfId="3" applyNumberFormat="1" applyFont="1"/>
    <xf numFmtId="169" fontId="3" fillId="0" borderId="14" xfId="3" applyNumberFormat="1"/>
    <xf numFmtId="0" fontId="11" fillId="5" borderId="0" xfId="0" applyFont="1" applyFill="1" applyAlignment="1">
      <alignment horizontal="left" vertical="center"/>
    </xf>
    <xf numFmtId="0" fontId="17" fillId="0" borderId="14" xfId="4" applyFont="1"/>
    <xf numFmtId="0" fontId="18" fillId="0" borderId="14" xfId="4" applyFont="1"/>
    <xf numFmtId="0" fontId="16" fillId="8" borderId="14" xfId="4" applyFont="1" applyFill="1" applyAlignment="1">
      <alignment horizontal="left"/>
    </xf>
    <xf numFmtId="0" fontId="19" fillId="9" borderId="14" xfId="4" applyFont="1" applyFill="1"/>
    <xf numFmtId="166" fontId="18" fillId="0" borderId="14" xfId="4" applyNumberFormat="1" applyFont="1"/>
    <xf numFmtId="166" fontId="20" fillId="0" borderId="14" xfId="4" applyNumberFormat="1" applyFont="1"/>
    <xf numFmtId="171" fontId="20" fillId="0" borderId="14" xfId="4" applyNumberFormat="1" applyFont="1"/>
    <xf numFmtId="0" fontId="16" fillId="11" borderId="14" xfId="4" applyFont="1" applyFill="1" applyAlignment="1">
      <alignment horizontal="left"/>
    </xf>
    <xf numFmtId="0" fontId="16" fillId="11" borderId="14" xfId="4" applyFont="1" applyFill="1" applyAlignment="1">
      <alignment horizontal="right"/>
    </xf>
    <xf numFmtId="0" fontId="18" fillId="0" borderId="14" xfId="4" applyFont="1" applyAlignment="1">
      <alignment horizontal="left"/>
    </xf>
    <xf numFmtId="0" fontId="18" fillId="0" borderId="14" xfId="4" applyFont="1" applyAlignment="1">
      <alignment horizontal="right"/>
    </xf>
    <xf numFmtId="164" fontId="18" fillId="0" borderId="14" xfId="4" applyNumberFormat="1" applyFont="1" applyAlignment="1">
      <alignment horizontal="right"/>
    </xf>
    <xf numFmtId="170" fontId="18" fillId="0" borderId="14" xfId="4" applyNumberFormat="1" applyFont="1" applyAlignment="1">
      <alignment horizontal="right"/>
    </xf>
    <xf numFmtId="166" fontId="18" fillId="0" borderId="14" xfId="4" applyNumberFormat="1" applyFont="1" applyAlignment="1">
      <alignment horizontal="right"/>
    </xf>
    <xf numFmtId="171" fontId="18" fillId="0" borderId="14" xfId="4" applyNumberFormat="1" applyFont="1" applyAlignment="1">
      <alignment horizontal="right"/>
    </xf>
    <xf numFmtId="0" fontId="19" fillId="10" borderId="14" xfId="4" applyFont="1" applyFill="1" applyAlignment="1">
      <alignment horizontal="left"/>
    </xf>
    <xf numFmtId="164" fontId="19" fillId="10" borderId="14" xfId="4" applyNumberFormat="1" applyFont="1" applyFill="1" applyAlignment="1">
      <alignment horizontal="right"/>
    </xf>
    <xf numFmtId="170" fontId="19" fillId="10" borderId="14" xfId="4" applyNumberFormat="1" applyFont="1" applyFill="1" applyAlignment="1">
      <alignment horizontal="right"/>
    </xf>
    <xf numFmtId="166" fontId="19" fillId="10" borderId="14" xfId="4" applyNumberFormat="1" applyFont="1" applyFill="1" applyAlignment="1">
      <alignment horizontal="right"/>
    </xf>
    <xf numFmtId="171" fontId="19" fillId="10" borderId="14" xfId="4" applyNumberFormat="1" applyFont="1" applyFill="1" applyAlignment="1">
      <alignment horizontal="right"/>
    </xf>
    <xf numFmtId="0" fontId="19" fillId="10" borderId="14" xfId="4" applyFont="1" applyFill="1" applyAlignment="1">
      <alignment horizontal="right"/>
    </xf>
    <xf numFmtId="0" fontId="16" fillId="8" borderId="22" xfId="4" applyFont="1" applyFill="1" applyBorder="1" applyAlignment="1">
      <alignment horizontal="left" vertical="center" wrapText="1"/>
    </xf>
    <xf numFmtId="0" fontId="16" fillId="8" borderId="21" xfId="4" applyFont="1" applyFill="1" applyBorder="1" applyAlignment="1">
      <alignment horizontal="left" vertical="center" wrapText="1"/>
    </xf>
    <xf numFmtId="0" fontId="16" fillId="8" borderId="20" xfId="4" applyFont="1" applyFill="1" applyBorder="1" applyAlignment="1">
      <alignment horizontal="left" vertical="center" wrapText="1"/>
    </xf>
    <xf numFmtId="0" fontId="18" fillId="0" borderId="19" xfId="4" applyFont="1" applyBorder="1" applyAlignment="1">
      <alignment horizontal="left" vertical="center" wrapText="1"/>
    </xf>
    <xf numFmtId="0" fontId="18" fillId="0" borderId="14" xfId="4" applyFont="1" applyAlignment="1">
      <alignment horizontal="left" vertical="center" wrapText="1"/>
    </xf>
    <xf numFmtId="0" fontId="18" fillId="0" borderId="18" xfId="4" applyFont="1" applyBorder="1" applyAlignment="1">
      <alignment horizontal="left" vertical="center" wrapText="1"/>
    </xf>
    <xf numFmtId="0" fontId="18" fillId="0" borderId="17" xfId="4" applyFont="1" applyBorder="1" applyAlignment="1">
      <alignment horizontal="left" vertical="center" wrapText="1"/>
    </xf>
    <xf numFmtId="0" fontId="18" fillId="0" borderId="16" xfId="4" applyFont="1" applyBorder="1" applyAlignment="1">
      <alignment horizontal="left" vertical="center" wrapText="1"/>
    </xf>
    <xf numFmtId="0" fontId="18" fillId="0" borderId="15" xfId="4" applyFont="1" applyBorder="1" applyAlignment="1">
      <alignment horizontal="left" vertical="center" wrapText="1"/>
    </xf>
    <xf numFmtId="0" fontId="18" fillId="0" borderId="0" xfId="0" applyFont="1"/>
    <xf numFmtId="0" fontId="17" fillId="0" borderId="0" xfId="0" applyFont="1"/>
    <xf numFmtId="0" fontId="16" fillId="8" borderId="23" xfId="0" applyFont="1" applyFill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6" fillId="12" borderId="14" xfId="4" applyFont="1" applyFill="1" applyAlignment="1">
      <alignment horizontal="left"/>
    </xf>
    <xf numFmtId="0" fontId="16" fillId="8" borderId="14" xfId="4" applyFont="1" applyFill="1"/>
    <xf numFmtId="0" fontId="18" fillId="0" borderId="14" xfId="4" applyFont="1"/>
    <xf numFmtId="0" fontId="19" fillId="9" borderId="14" xfId="4" applyFont="1" applyFill="1" applyAlignment="1">
      <alignment wrapText="1"/>
    </xf>
    <xf numFmtId="0" fontId="16" fillId="12" borderId="0" xfId="0" applyFont="1" applyFill="1"/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/>
    </xf>
    <xf numFmtId="0" fontId="15" fillId="7" borderId="14" xfId="3" applyFont="1" applyFill="1" applyAlignment="1">
      <alignment horizontal="center"/>
    </xf>
    <xf numFmtId="166" fontId="21" fillId="0" borderId="14" xfId="4" applyNumberFormat="1" applyFont="1" applyFill="1"/>
    <xf numFmtId="164" fontId="21" fillId="0" borderId="14" xfId="4" applyNumberFormat="1" applyFont="1" applyFill="1"/>
    <xf numFmtId="166" fontId="21" fillId="0" borderId="14" xfId="4" applyNumberFormat="1" applyFont="1" applyFill="1" applyAlignment="1">
      <alignment horizontal="right"/>
    </xf>
    <xf numFmtId="0" fontId="21" fillId="0" borderId="14" xfId="4" applyFont="1" applyFill="1" applyAlignment="1">
      <alignment horizontal="right"/>
    </xf>
    <xf numFmtId="166" fontId="22" fillId="0" borderId="14" xfId="4" applyNumberFormat="1" applyFont="1" applyFill="1" applyAlignment="1">
      <alignment horizontal="right"/>
    </xf>
  </cellXfs>
  <cellStyles count="5">
    <cellStyle name="Comma" xfId="1" builtinId="3"/>
    <cellStyle name="Normal" xfId="0" builtinId="0"/>
    <cellStyle name="Normal 2" xfId="3" xr:uid="{A51C5C93-BC27-42C2-855D-30EA48A210F9}"/>
    <cellStyle name="Normal 3" xfId="4" xr:uid="{CBDA37F2-3C97-482A-AA6A-B2285037AF65}"/>
    <cellStyle name="Percent" xfId="2" builtinId="5"/>
  </cellStyles>
  <dxfs count="3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/>
        <color rgb="FFFF00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mruColors>
      <color rgb="FFFF5B00"/>
      <color rgb="FFFFDFCD"/>
      <color rgb="FFFFBF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106680</xdr:rowOff>
    </xdr:from>
    <xdr:to>
      <xdr:col>0</xdr:col>
      <xdr:colOff>1582362</xdr:colOff>
      <xdr:row>4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C4AD9-24A9-4870-BC9A-3924CBAE9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106680"/>
          <a:ext cx="1536642" cy="723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cconsulting939-my.sharepoint.com/personal/joseph_mrad_linc-consulting_com/Documents/Projects/003-BT-WEE-25/Deliverables/Feasibility%20Study%20&amp;%20Financials/WEEVI%20-%20Combined%20KSA%20LB%20.xlsx" TargetMode="External"/><Relationship Id="rId1" Type="http://schemas.openxmlformats.org/officeDocument/2006/relationships/externalLinkPath" Target="Feasibility%20Study%20&amp;%20Financials/WEEVI%20-%20Combined%20KSA%20LB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 - LB"/>
      <sheetName val="P&amp;L- KSA"/>
      <sheetName val="P&amp;L- Combined"/>
      <sheetName val="CAPEX"/>
      <sheetName val="Cash Flow - LB"/>
      <sheetName val="Cash Flow - KSA"/>
      <sheetName val="Cashflow - Combined "/>
      <sheetName val="Valuation - D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showGridLines="0" topLeftCell="A19" zoomScale="77" workbookViewId="0">
      <selection activeCell="C48" sqref="C48"/>
    </sheetView>
  </sheetViews>
  <sheetFormatPr defaultRowHeight="13.8"/>
  <cols>
    <col min="1" max="1" width="24" customWidth="1"/>
    <col min="2" max="2" width="18" customWidth="1"/>
    <col min="3" max="3" width="20.5" bestFit="1" customWidth="1"/>
    <col min="4" max="4" width="18.8984375" bestFit="1" customWidth="1"/>
    <col min="5" max="5" width="21.3984375" bestFit="1" customWidth="1"/>
    <col min="6" max="6" width="14.8984375" bestFit="1" customWidth="1"/>
    <col min="7" max="7" width="13.09765625" bestFit="1" customWidth="1"/>
  </cols>
  <sheetData>
    <row r="1" spans="1:14">
      <c r="C1" s="21"/>
      <c r="D1" s="22"/>
    </row>
    <row r="2" spans="1:14">
      <c r="C2" s="23"/>
      <c r="D2" s="24"/>
    </row>
    <row r="6" spans="1:14" ht="14.4">
      <c r="A6" s="36" t="s">
        <v>0</v>
      </c>
      <c r="B6" s="36"/>
      <c r="C6" s="36"/>
      <c r="D6" s="36"/>
      <c r="E6" s="36"/>
      <c r="F6" s="36"/>
      <c r="G6" s="36"/>
      <c r="H6" s="36"/>
      <c r="I6" s="20"/>
      <c r="J6" s="20"/>
      <c r="K6" s="20"/>
      <c r="L6" s="20"/>
      <c r="M6" s="20"/>
      <c r="N6" s="20"/>
    </row>
    <row r="8" spans="1:14">
      <c r="A8" s="25" t="s">
        <v>1</v>
      </c>
      <c r="B8" s="25"/>
      <c r="C8" s="25"/>
      <c r="D8" s="25"/>
    </row>
    <row r="9" spans="1:14">
      <c r="A9" s="1" t="s">
        <v>2</v>
      </c>
      <c r="B9" s="31">
        <v>2500</v>
      </c>
    </row>
    <row r="10" spans="1:14">
      <c r="A10" s="1" t="s">
        <v>3</v>
      </c>
      <c r="B10" s="32">
        <v>0</v>
      </c>
    </row>
    <row r="11" spans="1:14">
      <c r="A11" s="1" t="s">
        <v>4</v>
      </c>
      <c r="B11" s="29" t="s">
        <v>5</v>
      </c>
    </row>
    <row r="12" spans="1:14">
      <c r="A12" s="1" t="s">
        <v>6</v>
      </c>
      <c r="B12" s="33">
        <v>2026</v>
      </c>
    </row>
    <row r="13" spans="1:14">
      <c r="A13" s="1" t="s">
        <v>7</v>
      </c>
      <c r="B13" s="33">
        <v>2027</v>
      </c>
    </row>
    <row r="14" spans="1:14">
      <c r="A14" s="1" t="s">
        <v>8</v>
      </c>
      <c r="B14" s="33">
        <v>2028</v>
      </c>
    </row>
    <row r="16" spans="1:14">
      <c r="A16" s="25" t="s">
        <v>9</v>
      </c>
      <c r="B16" s="25"/>
      <c r="C16" s="25"/>
      <c r="D16" s="25"/>
      <c r="E16" s="25"/>
      <c r="F16" s="25"/>
      <c r="G16" s="25"/>
    </row>
    <row r="17" spans="1:8">
      <c r="A17" s="26" t="s">
        <v>10</v>
      </c>
      <c r="B17" s="26" t="s">
        <v>11</v>
      </c>
      <c r="C17" s="26" t="s">
        <v>12</v>
      </c>
      <c r="D17" s="26" t="s">
        <v>13</v>
      </c>
      <c r="E17" s="26" t="s">
        <v>14</v>
      </c>
      <c r="F17" s="26" t="s">
        <v>15</v>
      </c>
      <c r="G17" s="26" t="s">
        <v>16</v>
      </c>
    </row>
    <row r="18" spans="1:8">
      <c r="A18" s="29" t="s">
        <v>17</v>
      </c>
      <c r="B18" s="29">
        <v>2026</v>
      </c>
      <c r="C18" s="30">
        <f>'[1]Valuation - DCF'!$F$87</f>
        <v>0</v>
      </c>
      <c r="D18" s="30">
        <v>740213</v>
      </c>
      <c r="E18" s="27">
        <f>C18+D18</f>
        <v>740213</v>
      </c>
      <c r="F18" s="28">
        <f>IFERROR(D18/E18,0)</f>
        <v>1</v>
      </c>
      <c r="G18" s="48">
        <f>IFERROR(C18/'Simulation 1'!$N$38,0)</f>
        <v>0</v>
      </c>
    </row>
    <row r="19" spans="1:8">
      <c r="A19" s="29" t="s">
        <v>18</v>
      </c>
      <c r="B19" s="29">
        <v>2027</v>
      </c>
      <c r="C19" s="30">
        <f>E18</f>
        <v>740213</v>
      </c>
      <c r="D19" s="30">
        <v>1000000</v>
      </c>
      <c r="E19" s="27">
        <f>C19+D19</f>
        <v>1740213</v>
      </c>
      <c r="F19" s="28">
        <f>IFERROR(D19/E19,0)</f>
        <v>0.57464229953459722</v>
      </c>
      <c r="G19" s="48">
        <f>IFERROR(C19/'Simulation 1'!$N$52,0)</f>
        <v>296.08519999999999</v>
      </c>
    </row>
    <row r="20" spans="1:8">
      <c r="A20" s="29" t="s">
        <v>19</v>
      </c>
      <c r="B20" s="29">
        <v>2028</v>
      </c>
      <c r="C20" s="30"/>
      <c r="D20" s="30"/>
      <c r="E20" s="27">
        <f>C20+D20</f>
        <v>0</v>
      </c>
      <c r="F20" s="28">
        <f>IFERROR(D20/E20,0)</f>
        <v>0</v>
      </c>
      <c r="G20" s="48">
        <f>IFERROR(C20/'Simulation 1'!N53,0)</f>
        <v>0</v>
      </c>
    </row>
    <row r="22" spans="1:8">
      <c r="A22" s="39" t="s">
        <v>20</v>
      </c>
      <c r="B22" s="39"/>
      <c r="C22" s="39"/>
      <c r="D22" s="39"/>
      <c r="E22" s="39"/>
      <c r="F22" s="39"/>
      <c r="G22" s="39"/>
      <c r="H22" s="39"/>
    </row>
    <row r="24" spans="1:8">
      <c r="A24" s="25" t="s">
        <v>21</v>
      </c>
      <c r="B24" s="25" t="s">
        <v>22</v>
      </c>
      <c r="C24" s="25" t="s">
        <v>23</v>
      </c>
      <c r="D24" s="25" t="s">
        <v>24</v>
      </c>
      <c r="E24" s="25" t="s">
        <v>25</v>
      </c>
      <c r="F24" s="25" t="s">
        <v>26</v>
      </c>
      <c r="G24" s="25" t="s">
        <v>27</v>
      </c>
      <c r="H24" s="25" t="s">
        <v>28</v>
      </c>
    </row>
    <row r="25" spans="1:8">
      <c r="A25" s="2" t="s">
        <v>29</v>
      </c>
      <c r="B25" s="6">
        <v>0.8</v>
      </c>
      <c r="C25" s="7">
        <f>B25*'Simulation 1'!$B$9</f>
        <v>2000</v>
      </c>
      <c r="D25" s="6">
        <f>'Simulation 1'!J38</f>
        <v>0.8</v>
      </c>
      <c r="E25" s="7">
        <f>'Simulation 1'!I38</f>
        <v>2000</v>
      </c>
      <c r="F25" s="6">
        <f>'Simulation 1'!J52</f>
        <v>0.79999999999999982</v>
      </c>
      <c r="G25" s="7">
        <f>'Simulation 1'!I52</f>
        <v>4701.9249864566009</v>
      </c>
      <c r="H25" s="9">
        <f t="shared" ref="H25:H30" si="0">C25</f>
        <v>2000</v>
      </c>
    </row>
    <row r="26" spans="1:8">
      <c r="A26" s="2" t="s">
        <v>30</v>
      </c>
      <c r="B26" s="6">
        <v>7.0000000000000007E-2</v>
      </c>
      <c r="C26" s="7">
        <f>B26*'Simulation 1'!$B$9</f>
        <v>175.00000000000003</v>
      </c>
      <c r="D26" s="6">
        <f>'Simulation 1'!J39</f>
        <v>7.0000000000000007E-2</v>
      </c>
      <c r="E26" s="7">
        <f>'Simulation 1'!I39</f>
        <v>175.00000000000003</v>
      </c>
      <c r="F26" s="6">
        <f>'Simulation 1'!J53</f>
        <v>7.0000000000000007E-2</v>
      </c>
      <c r="G26" s="7">
        <f>'Simulation 1'!I53</f>
        <v>411.41843631495271</v>
      </c>
      <c r="H26" s="9">
        <f t="shared" si="0"/>
        <v>175.00000000000003</v>
      </c>
    </row>
    <row r="27" spans="1:8">
      <c r="A27" s="2" t="s">
        <v>31</v>
      </c>
      <c r="B27" s="6">
        <v>7.0000000000000007E-2</v>
      </c>
      <c r="C27" s="7">
        <f>B27*'Simulation 1'!$B$9</f>
        <v>175.00000000000003</v>
      </c>
      <c r="D27" s="6">
        <f>'Simulation 1'!J40</f>
        <v>7.0000000000000007E-2</v>
      </c>
      <c r="E27" s="7">
        <f>'Simulation 1'!I40</f>
        <v>175.00000000000003</v>
      </c>
      <c r="F27" s="6">
        <f>'Simulation 1'!J54</f>
        <v>7.0000000000000007E-2</v>
      </c>
      <c r="G27" s="7">
        <f>'Simulation 1'!I54</f>
        <v>411.41843631495271</v>
      </c>
      <c r="H27" s="9">
        <f t="shared" si="0"/>
        <v>175.00000000000003</v>
      </c>
    </row>
    <row r="28" spans="1:8">
      <c r="A28" s="2" t="s">
        <v>32</v>
      </c>
      <c r="B28" s="6">
        <v>0.02</v>
      </c>
      <c r="C28" s="7">
        <f>B28*'Simulation 1'!$B$9</f>
        <v>50</v>
      </c>
      <c r="D28" s="6">
        <f>'Simulation 1'!J41</f>
        <v>0.02</v>
      </c>
      <c r="E28" s="7">
        <f>'Simulation 1'!I41</f>
        <v>50</v>
      </c>
      <c r="F28" s="6">
        <f>'Simulation 1'!J55</f>
        <v>1.9999999999999997E-2</v>
      </c>
      <c r="G28" s="7">
        <f>'Simulation 1'!I55</f>
        <v>117.54812466141503</v>
      </c>
      <c r="H28" s="9">
        <f t="shared" si="0"/>
        <v>50</v>
      </c>
    </row>
    <row r="29" spans="1:8">
      <c r="A29" s="2" t="s">
        <v>33</v>
      </c>
      <c r="B29" s="6">
        <v>0.02</v>
      </c>
      <c r="C29" s="7">
        <f>B29*'Simulation 1'!$B$9</f>
        <v>50</v>
      </c>
      <c r="D29" s="6">
        <f>'Simulation 1'!J42</f>
        <v>0.02</v>
      </c>
      <c r="E29" s="7">
        <f>'Simulation 1'!I42</f>
        <v>50</v>
      </c>
      <c r="F29" s="6">
        <f>'Simulation 1'!J56</f>
        <v>1.9999999999999997E-2</v>
      </c>
      <c r="G29" s="7">
        <f>'Simulation 1'!I56</f>
        <v>117.54812466141503</v>
      </c>
      <c r="H29" s="9">
        <f t="shared" si="0"/>
        <v>50</v>
      </c>
    </row>
    <row r="30" spans="1:8">
      <c r="A30" s="2" t="s">
        <v>34</v>
      </c>
      <c r="B30" s="6">
        <v>0.02</v>
      </c>
      <c r="C30" s="7">
        <f>B30*'Simulation 1'!$B$9</f>
        <v>50</v>
      </c>
      <c r="D30" s="6">
        <f>'Simulation 1'!J43</f>
        <v>0.02</v>
      </c>
      <c r="E30" s="7">
        <f>'Simulation 1'!I43</f>
        <v>50</v>
      </c>
      <c r="F30" s="6">
        <f>'Simulation 1'!J57</f>
        <v>1.9999999999999997E-2</v>
      </c>
      <c r="G30" s="7">
        <f>'Simulation 1'!I57</f>
        <v>117.54812466141503</v>
      </c>
      <c r="H30" s="9">
        <f t="shared" si="0"/>
        <v>50</v>
      </c>
    </row>
    <row r="31" spans="1:8">
      <c r="A31" s="25" t="s">
        <v>35</v>
      </c>
      <c r="B31" s="34">
        <f t="shared" ref="B31:H31" si="1">SUM(B25:B30)</f>
        <v>1.0000000000000002</v>
      </c>
      <c r="C31" s="35">
        <f t="shared" si="1"/>
        <v>2500</v>
      </c>
      <c r="D31" s="34">
        <f t="shared" si="1"/>
        <v>1.0000000000000002</v>
      </c>
      <c r="E31" s="35">
        <f t="shared" si="1"/>
        <v>2500</v>
      </c>
      <c r="F31" s="34">
        <f t="shared" si="1"/>
        <v>1</v>
      </c>
      <c r="G31" s="35">
        <f t="shared" si="1"/>
        <v>5877.406233070752</v>
      </c>
      <c r="H31" s="35">
        <f t="shared" si="1"/>
        <v>2500</v>
      </c>
    </row>
    <row r="34" spans="1:14" ht="14.4">
      <c r="A34" s="39" t="s">
        <v>36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20"/>
      <c r="M34" s="20"/>
      <c r="N34" s="20"/>
    </row>
    <row r="36" spans="1:14">
      <c r="A36" s="36" t="s">
        <v>37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7" spans="1:14">
      <c r="A37" s="25" t="s">
        <v>38</v>
      </c>
      <c r="B37" s="25" t="s">
        <v>39</v>
      </c>
      <c r="C37" s="25" t="s">
        <v>40</v>
      </c>
      <c r="D37" s="25" t="s">
        <v>41</v>
      </c>
      <c r="E37" s="25" t="s">
        <v>42</v>
      </c>
      <c r="F37" s="25" t="s">
        <v>43</v>
      </c>
      <c r="G37" s="25" t="s">
        <v>44</v>
      </c>
      <c r="H37" s="25" t="s">
        <v>45</v>
      </c>
      <c r="I37" s="25" t="s">
        <v>46</v>
      </c>
      <c r="J37" s="25" t="s">
        <v>47</v>
      </c>
      <c r="K37" s="25" t="s">
        <v>28</v>
      </c>
      <c r="M37" s="25" t="s">
        <v>48</v>
      </c>
      <c r="N37" s="25" t="s">
        <v>49</v>
      </c>
    </row>
    <row r="38" spans="1:14">
      <c r="A38" s="2" t="s">
        <v>29</v>
      </c>
      <c r="B38" s="7">
        <f>'Simulation 1'!C25</f>
        <v>2000</v>
      </c>
      <c r="C38" s="11">
        <f t="shared" ref="C38:C43" si="2">B38/$N$38</f>
        <v>0.8</v>
      </c>
      <c r="D38" s="37" t="s">
        <v>50</v>
      </c>
      <c r="E38" s="13">
        <f>C38*'Simulation 1'!$D$18</f>
        <v>592170.4</v>
      </c>
      <c r="F38" s="13">
        <f>IF(OR(D38&lt;&gt;"Yes",'Simulation 1'!$D$18=0,SUMIF($D$38:$D$43,"Yes",$B$38:$B$43)=0),0,'Simulation 1'!$D$18*B38/SUMIF($D$38:$D$43,"Yes",$B$38:$B$43))</f>
        <v>592170.4</v>
      </c>
      <c r="G38" s="13">
        <f>IFERROR(F38/'Simulation 1'!$G$18,0)</f>
        <v>0</v>
      </c>
      <c r="H38" s="11">
        <f t="shared" ref="H38:H43" si="3">C38-J38</f>
        <v>0</v>
      </c>
      <c r="I38" s="7">
        <f t="shared" ref="I38:I43" si="4">B38+G38</f>
        <v>2000</v>
      </c>
      <c r="J38" s="11">
        <f t="shared" ref="J38:J43" si="5">IFERROR(I38/SUM($I$38:$I$43),0)</f>
        <v>0.8</v>
      </c>
      <c r="K38" s="3"/>
      <c r="M38" t="s">
        <v>51</v>
      </c>
      <c r="N38" s="7">
        <f>SUM($B$38:$B$43)</f>
        <v>2500</v>
      </c>
    </row>
    <row r="39" spans="1:14">
      <c r="A39" s="2" t="s">
        <v>30</v>
      </c>
      <c r="B39" s="7">
        <f>'Simulation 1'!C26</f>
        <v>175.00000000000003</v>
      </c>
      <c r="C39" s="11">
        <f t="shared" si="2"/>
        <v>7.0000000000000007E-2</v>
      </c>
      <c r="D39" s="37" t="s">
        <v>50</v>
      </c>
      <c r="E39" s="13">
        <f>C39*'Simulation 1'!$D$18</f>
        <v>51814.91</v>
      </c>
      <c r="F39" s="13">
        <f>IF(OR(D39&lt;&gt;"Yes",'Simulation 1'!$D$18=0,SUMIF($D$38:$D$43,"Yes",$B$38:$B$43)=0),0,'Simulation 1'!$D$18*B39/SUMIF($D$38:$D$43,"Yes",$B$38:$B$43))</f>
        <v>51814.91</v>
      </c>
      <c r="G39" s="13">
        <f>IFERROR(F39/'Simulation 1'!$G$18,0)</f>
        <v>0</v>
      </c>
      <c r="H39" s="11">
        <f t="shared" si="3"/>
        <v>0</v>
      </c>
      <c r="I39" s="7">
        <f t="shared" si="4"/>
        <v>175.00000000000003</v>
      </c>
      <c r="J39" s="11">
        <f t="shared" si="5"/>
        <v>7.0000000000000007E-2</v>
      </c>
      <c r="K39" s="3"/>
      <c r="M39" t="s">
        <v>52</v>
      </c>
      <c r="N39" s="7">
        <f>SUM($I$38:$I$43)</f>
        <v>2500</v>
      </c>
    </row>
    <row r="40" spans="1:14">
      <c r="A40" s="2" t="s">
        <v>100</v>
      </c>
      <c r="B40" s="7">
        <f>'Simulation 1'!C27</f>
        <v>175.00000000000003</v>
      </c>
      <c r="C40" s="11">
        <f t="shared" si="2"/>
        <v>7.0000000000000007E-2</v>
      </c>
      <c r="D40" s="37" t="s">
        <v>50</v>
      </c>
      <c r="E40" s="13">
        <f>C40*'Simulation 1'!$D$18</f>
        <v>51814.91</v>
      </c>
      <c r="F40" s="13">
        <f>IF(OR(D40&lt;&gt;"Yes",'Simulation 1'!$D$18=0,SUMIF($D$38:$D$43,"Yes",$B$38:$B$43)=0),0,'Simulation 1'!$D$18*B40/SUMIF($D$38:$D$43,"Yes",$B$38:$B$43))</f>
        <v>51814.91</v>
      </c>
      <c r="G40" s="13">
        <f>IFERROR(F40/'Simulation 1'!$G$18,0)</f>
        <v>0</v>
      </c>
      <c r="H40" s="11">
        <f t="shared" si="3"/>
        <v>0</v>
      </c>
      <c r="I40" s="7">
        <f t="shared" si="4"/>
        <v>175.00000000000003</v>
      </c>
      <c r="J40" s="11">
        <f t="shared" si="5"/>
        <v>7.0000000000000007E-2</v>
      </c>
      <c r="K40" s="3"/>
      <c r="M40" t="s">
        <v>53</v>
      </c>
      <c r="N40" s="7">
        <f>SUM($G$38:$G$43)</f>
        <v>0</v>
      </c>
    </row>
    <row r="41" spans="1:14">
      <c r="A41" s="2" t="s">
        <v>32</v>
      </c>
      <c r="B41" s="7">
        <f>'Simulation 1'!C28</f>
        <v>50</v>
      </c>
      <c r="C41" s="11">
        <f t="shared" si="2"/>
        <v>0.02</v>
      </c>
      <c r="D41" s="37" t="s">
        <v>50</v>
      </c>
      <c r="E41" s="13">
        <f>C41*'Simulation 1'!$D$18</f>
        <v>14804.26</v>
      </c>
      <c r="F41" s="13">
        <f>IF(OR(D41&lt;&gt;"Yes",'Simulation 1'!$D$18=0,SUMIF($D$38:$D$43,"Yes",$B$38:$B$43)=0),0,'Simulation 1'!$D$18*B41/SUMIF($D$38:$D$43,"Yes",$B$38:$B$43))</f>
        <v>14804.26</v>
      </c>
      <c r="G41" s="13">
        <f>IFERROR(F41/'Simulation 1'!$G$18,0)</f>
        <v>0</v>
      </c>
      <c r="H41" s="11">
        <f t="shared" si="3"/>
        <v>0</v>
      </c>
      <c r="I41" s="7">
        <f t="shared" si="4"/>
        <v>50</v>
      </c>
      <c r="J41" s="11">
        <f t="shared" si="5"/>
        <v>0.02</v>
      </c>
      <c r="K41" s="3"/>
    </row>
    <row r="42" spans="1:14">
      <c r="A42" s="2" t="s">
        <v>33</v>
      </c>
      <c r="B42" s="7">
        <f>'Simulation 1'!C29</f>
        <v>50</v>
      </c>
      <c r="C42" s="11">
        <f t="shared" si="2"/>
        <v>0.02</v>
      </c>
      <c r="D42" s="37" t="s">
        <v>50</v>
      </c>
      <c r="E42" s="13">
        <f>C42*'Simulation 1'!$D$18</f>
        <v>14804.26</v>
      </c>
      <c r="F42" s="13">
        <f>IF(OR(D42&lt;&gt;"Yes",'Simulation 1'!$D$18=0,SUMIF($D$38:$D$43,"Yes",$B$38:$B$43)=0),0,'Simulation 1'!$D$18*B42/SUMIF($D$38:$D$43,"Yes",$B$38:$B$43))</f>
        <v>14804.26</v>
      </c>
      <c r="G42" s="13">
        <f>IFERROR(F42/'Simulation 1'!$G$18,0)</f>
        <v>0</v>
      </c>
      <c r="H42" s="11">
        <f t="shared" si="3"/>
        <v>0</v>
      </c>
      <c r="I42" s="7">
        <f t="shared" si="4"/>
        <v>50</v>
      </c>
      <c r="J42" s="11">
        <f t="shared" si="5"/>
        <v>0.02</v>
      </c>
      <c r="K42" s="9"/>
    </row>
    <row r="43" spans="1:14">
      <c r="A43" s="2" t="s">
        <v>34</v>
      </c>
      <c r="B43" s="7">
        <f>'Simulation 1'!C30</f>
        <v>50</v>
      </c>
      <c r="C43" s="11">
        <f t="shared" si="2"/>
        <v>0.02</v>
      </c>
      <c r="D43" s="37" t="s">
        <v>50</v>
      </c>
      <c r="E43" s="13">
        <f>C43*'Simulation 1'!$D$18</f>
        <v>14804.26</v>
      </c>
      <c r="F43" s="13">
        <f>IF(OR(D43&lt;&gt;"Yes",'Simulation 1'!$D$18=0,SUMIF($D$38:$D$43,"Yes",$B$38:$B$43)=0),0,'Simulation 1'!$D$18*B43/SUMIF($D$38:$D$43,"Yes",$B$38:$B$43))</f>
        <v>14804.26</v>
      </c>
      <c r="G43" s="13">
        <f>IFERROR(F43/'Simulation 1'!$G$18,0)</f>
        <v>0</v>
      </c>
      <c r="H43" s="11">
        <f t="shared" si="3"/>
        <v>0</v>
      </c>
      <c r="I43" s="7">
        <f t="shared" si="4"/>
        <v>50</v>
      </c>
      <c r="J43" s="11">
        <f t="shared" si="5"/>
        <v>0.02</v>
      </c>
      <c r="K43" s="9"/>
    </row>
    <row r="44" spans="1:14">
      <c r="A44" s="4"/>
      <c r="B44" s="5"/>
      <c r="C44" s="5"/>
      <c r="D44" s="5"/>
      <c r="E44" s="5"/>
      <c r="F44" s="5"/>
      <c r="G44" s="5"/>
      <c r="H44" s="5"/>
      <c r="I44" s="5"/>
      <c r="J44" s="5"/>
      <c r="K44" s="10"/>
    </row>
    <row r="50" spans="1:14">
      <c r="A50" s="36" t="s">
        <v>54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4">
      <c r="A51" s="25" t="s">
        <v>38</v>
      </c>
      <c r="B51" s="25" t="s">
        <v>39</v>
      </c>
      <c r="C51" s="25" t="s">
        <v>40</v>
      </c>
      <c r="D51" s="25" t="s">
        <v>41</v>
      </c>
      <c r="E51" s="25" t="s">
        <v>42</v>
      </c>
      <c r="F51" s="25" t="s">
        <v>43</v>
      </c>
      <c r="G51" s="25" t="s">
        <v>44</v>
      </c>
      <c r="H51" s="25" t="s">
        <v>45</v>
      </c>
      <c r="I51" s="25" t="s">
        <v>46</v>
      </c>
      <c r="J51" s="25" t="s">
        <v>47</v>
      </c>
      <c r="K51" s="25" t="s">
        <v>28</v>
      </c>
      <c r="M51" s="25" t="s">
        <v>55</v>
      </c>
      <c r="N51" s="25" t="s">
        <v>49</v>
      </c>
    </row>
    <row r="52" spans="1:14">
      <c r="A52" s="2" t="s">
        <v>29</v>
      </c>
      <c r="B52" s="7">
        <f t="shared" ref="B52:B57" si="6">I38</f>
        <v>2000</v>
      </c>
      <c r="C52" s="11">
        <f t="shared" ref="C52:C57" si="7">IFERROR(B52/SUM($B$52:$B$57),0)</f>
        <v>0.8</v>
      </c>
      <c r="D52" s="37" t="s">
        <v>50</v>
      </c>
      <c r="E52" s="13">
        <f>C52*'Simulation 1'!$D$19</f>
        <v>800000</v>
      </c>
      <c r="F52" s="13">
        <f>IF(OR(D52&lt;&gt;"Yes",'Simulation 1'!$D$19=0,SUMIF($D$52:$D$57,"Yes",$B$52:$B$57)=0),0,'Simulation 1'!$D$19*B52/SUMIF($D$52:$D$57,"Yes",$B$52:$B$57))</f>
        <v>800000</v>
      </c>
      <c r="G52" s="13">
        <f>IFERROR(F52/'Simulation 1'!$G$19,0)</f>
        <v>2701.9249864566013</v>
      </c>
      <c r="H52" s="11">
        <f t="shared" ref="H52:H57" si="8">C52-J52</f>
        <v>0</v>
      </c>
      <c r="I52" s="7">
        <f t="shared" ref="I52:I57" si="9">B52+G52</f>
        <v>4701.9249864566009</v>
      </c>
      <c r="J52" s="11">
        <f t="shared" ref="J52:J57" si="10">IFERROR(I52/SUM($I$52:$I$57),0)</f>
        <v>0.79999999999999982</v>
      </c>
      <c r="K52" s="3"/>
      <c r="M52" t="s">
        <v>51</v>
      </c>
      <c r="N52" s="7">
        <f>SUM($B$52:$B$57)</f>
        <v>2500</v>
      </c>
    </row>
    <row r="53" spans="1:14">
      <c r="A53" s="2" t="s">
        <v>30</v>
      </c>
      <c r="B53" s="7">
        <f t="shared" si="6"/>
        <v>175.00000000000003</v>
      </c>
      <c r="C53" s="11">
        <f t="shared" si="7"/>
        <v>7.0000000000000007E-2</v>
      </c>
      <c r="D53" s="37" t="s">
        <v>50</v>
      </c>
      <c r="E53" s="13">
        <f>C53*'Simulation 1'!$D$19</f>
        <v>70000</v>
      </c>
      <c r="F53" s="13">
        <f>IF(OR(D53&lt;&gt;"Yes",'Simulation 1'!$D$19=0,SUMIF($D$52:$D$57,"Yes",$B$52:$B$57)=0),0,'Simulation 1'!$D$19*B53/SUMIF($D$52:$D$57,"Yes",$B$52:$B$57))</f>
        <v>70000.000000000015</v>
      </c>
      <c r="G53" s="13">
        <f>IFERROR(F53/'Simulation 1'!$G$19,0)</f>
        <v>236.41843631495266</v>
      </c>
      <c r="H53" s="11">
        <f t="shared" si="8"/>
        <v>0</v>
      </c>
      <c r="I53" s="7">
        <f t="shared" si="9"/>
        <v>411.41843631495271</v>
      </c>
      <c r="J53" s="11">
        <f t="shared" si="10"/>
        <v>7.0000000000000007E-2</v>
      </c>
      <c r="K53" s="3"/>
      <c r="M53" t="s">
        <v>52</v>
      </c>
      <c r="N53" s="7">
        <f>SUM($I$52:$I$57)</f>
        <v>5877.406233070752</v>
      </c>
    </row>
    <row r="54" spans="1:14">
      <c r="A54" s="2" t="s">
        <v>100</v>
      </c>
      <c r="B54" s="7">
        <f t="shared" si="6"/>
        <v>175.00000000000003</v>
      </c>
      <c r="C54" s="11">
        <f t="shared" si="7"/>
        <v>7.0000000000000007E-2</v>
      </c>
      <c r="D54" s="37" t="s">
        <v>50</v>
      </c>
      <c r="E54" s="13">
        <f>C54*'Simulation 1'!$D$19</f>
        <v>70000</v>
      </c>
      <c r="F54" s="13">
        <f>IF(OR(D54&lt;&gt;"Yes",'Simulation 1'!$D$19=0,SUMIF($D$52:$D$57,"Yes",$B$52:$B$57)=0),0,'Simulation 1'!$D$19*B54/SUMIF($D$52:$D$57,"Yes",$B$52:$B$57))</f>
        <v>70000.000000000015</v>
      </c>
      <c r="G54" s="13">
        <f>IFERROR(F54/'Simulation 1'!$G$19,0)</f>
        <v>236.41843631495266</v>
      </c>
      <c r="H54" s="11">
        <f t="shared" si="8"/>
        <v>0</v>
      </c>
      <c r="I54" s="7">
        <f t="shared" si="9"/>
        <v>411.41843631495271</v>
      </c>
      <c r="J54" s="11">
        <f t="shared" si="10"/>
        <v>7.0000000000000007E-2</v>
      </c>
      <c r="K54" s="3"/>
      <c r="M54" t="s">
        <v>53</v>
      </c>
      <c r="N54" s="7">
        <f>SUM($G$52:$G$57)</f>
        <v>3377.4062330707511</v>
      </c>
    </row>
    <row r="55" spans="1:14">
      <c r="A55" s="2" t="s">
        <v>32</v>
      </c>
      <c r="B55" s="7">
        <f t="shared" si="6"/>
        <v>50</v>
      </c>
      <c r="C55" s="11">
        <f t="shared" si="7"/>
        <v>0.02</v>
      </c>
      <c r="D55" s="37" t="s">
        <v>50</v>
      </c>
      <c r="E55" s="13">
        <f>C55*'Simulation 1'!$D$19</f>
        <v>20000</v>
      </c>
      <c r="F55" s="13">
        <f>IF(OR(D55&lt;&gt;"Yes",'Simulation 1'!$D$19=0,SUMIF($D$52:$D$57,"Yes",$B$52:$B$57)=0),0,'Simulation 1'!$D$19*B55/SUMIF($D$52:$D$57,"Yes",$B$52:$B$57))</f>
        <v>20000</v>
      </c>
      <c r="G55" s="13">
        <f>IFERROR(F55/'Simulation 1'!$G$19,0)</f>
        <v>67.548124661415031</v>
      </c>
      <c r="H55" s="11">
        <f t="shared" si="8"/>
        <v>0</v>
      </c>
      <c r="I55" s="7">
        <f t="shared" si="9"/>
        <v>117.54812466141503</v>
      </c>
      <c r="J55" s="11">
        <f t="shared" si="10"/>
        <v>1.9999999999999997E-2</v>
      </c>
      <c r="K55" s="3"/>
    </row>
    <row r="56" spans="1:14">
      <c r="A56" s="2" t="s">
        <v>33</v>
      </c>
      <c r="B56" s="7">
        <f t="shared" si="6"/>
        <v>50</v>
      </c>
      <c r="C56" s="11">
        <f t="shared" si="7"/>
        <v>0.02</v>
      </c>
      <c r="D56" s="37" t="s">
        <v>50</v>
      </c>
      <c r="E56" s="13">
        <f>C56*'Simulation 1'!$D$19</f>
        <v>20000</v>
      </c>
      <c r="F56" s="13">
        <f>IF(OR(D56&lt;&gt;"Yes",'Simulation 1'!$D$19=0,SUMIF($D$52:$D$57,"Yes",$B$52:$B$57)=0),0,'Simulation 1'!$D$19*B56/SUMIF($D$52:$D$57,"Yes",$B$52:$B$57))</f>
        <v>20000</v>
      </c>
      <c r="G56" s="13">
        <f>IFERROR(F56/'Simulation 1'!$G$19,0)</f>
        <v>67.548124661415031</v>
      </c>
      <c r="H56" s="11">
        <f t="shared" si="8"/>
        <v>0</v>
      </c>
      <c r="I56" s="7">
        <f t="shared" si="9"/>
        <v>117.54812466141503</v>
      </c>
      <c r="J56" s="11">
        <f t="shared" si="10"/>
        <v>1.9999999999999997E-2</v>
      </c>
      <c r="K56" s="9"/>
    </row>
    <row r="57" spans="1:14">
      <c r="A57" s="4" t="s">
        <v>34</v>
      </c>
      <c r="B57" s="8">
        <f t="shared" si="6"/>
        <v>50</v>
      </c>
      <c r="C57" s="12">
        <f t="shared" si="7"/>
        <v>0.02</v>
      </c>
      <c r="D57" s="38" t="s">
        <v>50</v>
      </c>
      <c r="E57" s="14">
        <f>C57*'Simulation 1'!$D$19</f>
        <v>20000</v>
      </c>
      <c r="F57" s="14">
        <f>IF(OR(D57&lt;&gt;"Yes",'Simulation 1'!$D$19=0,SUMIF($D$52:$D$57,"Yes",$B$52:$B$57)=0),0,'Simulation 1'!$D$19*B57/SUMIF($D$52:$D$57,"Yes",$B$52:$B$57))</f>
        <v>20000</v>
      </c>
      <c r="G57" s="14">
        <f>IFERROR(F57/'Simulation 1'!$G$19,0)</f>
        <v>67.548124661415031</v>
      </c>
      <c r="H57" s="12">
        <f t="shared" si="8"/>
        <v>0</v>
      </c>
      <c r="I57" s="7">
        <f t="shared" si="9"/>
        <v>117.54812466141503</v>
      </c>
      <c r="J57" s="12">
        <f t="shared" si="10"/>
        <v>1.9999999999999997E-2</v>
      </c>
      <c r="K57" s="10"/>
    </row>
    <row r="61" spans="1:14">
      <c r="A61" s="39" t="s">
        <v>56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</row>
    <row r="63" spans="1:14">
      <c r="A63" s="102" t="s">
        <v>57</v>
      </c>
      <c r="B63" s="103"/>
      <c r="C63" s="104"/>
      <c r="D63" s="102" t="s">
        <v>58</v>
      </c>
      <c r="E63" s="103"/>
      <c r="F63" s="104"/>
      <c r="G63" s="102" t="s">
        <v>59</v>
      </c>
      <c r="H63" s="103"/>
      <c r="I63" s="104"/>
      <c r="J63" s="102" t="s">
        <v>60</v>
      </c>
      <c r="K63" s="103"/>
      <c r="L63" s="104"/>
    </row>
    <row r="64" spans="1:14">
      <c r="A64" s="105">
        <f>'Simulation 1'!C18</f>
        <v>0</v>
      </c>
      <c r="B64" s="106"/>
      <c r="C64" s="107"/>
      <c r="D64" s="105">
        <f>'Simulation 1'!D18</f>
        <v>740213</v>
      </c>
      <c r="E64" s="106"/>
      <c r="F64" s="107"/>
      <c r="G64" s="105">
        <f>'Simulation 1'!E18</f>
        <v>740213</v>
      </c>
      <c r="H64" s="106"/>
      <c r="I64" s="107"/>
      <c r="J64" s="105">
        <f>'Simulation 1'!F18</f>
        <v>1</v>
      </c>
      <c r="K64" s="106"/>
      <c r="L64" s="107"/>
    </row>
    <row r="65" spans="1:12">
      <c r="A65" s="108"/>
      <c r="B65" s="109"/>
      <c r="C65" s="110"/>
      <c r="D65" s="108"/>
      <c r="E65" s="109"/>
      <c r="F65" s="110"/>
      <c r="G65" s="108"/>
      <c r="H65" s="109"/>
      <c r="I65" s="110"/>
      <c r="J65" s="108"/>
      <c r="K65" s="109"/>
      <c r="L65" s="110"/>
    </row>
    <row r="67" spans="1:12">
      <c r="A67" s="102" t="s">
        <v>61</v>
      </c>
      <c r="B67" s="103"/>
      <c r="C67" s="104"/>
      <c r="D67" s="102" t="s">
        <v>62</v>
      </c>
      <c r="E67" s="103"/>
      <c r="F67" s="104"/>
      <c r="G67" s="102" t="s">
        <v>63</v>
      </c>
      <c r="H67" s="103"/>
      <c r="I67" s="104"/>
      <c r="J67" s="102" t="s">
        <v>64</v>
      </c>
      <c r="K67" s="103"/>
      <c r="L67" s="104"/>
    </row>
    <row r="68" spans="1:12">
      <c r="A68" s="105">
        <f>'Simulation 1'!C19</f>
        <v>740213</v>
      </c>
      <c r="B68" s="106"/>
      <c r="C68" s="107"/>
      <c r="D68" s="105">
        <f>'Simulation 1'!D19</f>
        <v>1000000</v>
      </c>
      <c r="E68" s="106"/>
      <c r="F68" s="107"/>
      <c r="G68" s="105">
        <f>'Simulation 1'!E19</f>
        <v>1740213</v>
      </c>
      <c r="H68" s="106"/>
      <c r="I68" s="107"/>
      <c r="J68" s="105">
        <f>'Simulation 1'!F19</f>
        <v>0.57464229953459722</v>
      </c>
      <c r="K68" s="106"/>
      <c r="L68" s="107"/>
    </row>
    <row r="69" spans="1:12">
      <c r="A69" s="108"/>
      <c r="B69" s="109"/>
      <c r="C69" s="110"/>
      <c r="D69" s="108"/>
      <c r="E69" s="109"/>
      <c r="F69" s="110"/>
      <c r="G69" s="108"/>
      <c r="H69" s="109"/>
      <c r="I69" s="110"/>
      <c r="J69" s="108"/>
      <c r="K69" s="109"/>
      <c r="L69" s="110"/>
    </row>
    <row r="72" spans="1:12">
      <c r="A72" s="25" t="s">
        <v>38</v>
      </c>
      <c r="B72" s="25" t="s">
        <v>65</v>
      </c>
      <c r="C72" s="25" t="s">
        <v>66</v>
      </c>
      <c r="D72" s="25" t="s">
        <v>67</v>
      </c>
      <c r="E72" s="25" t="s">
        <v>68</v>
      </c>
      <c r="F72" s="25" t="s">
        <v>69</v>
      </c>
      <c r="G72" s="25" t="s">
        <v>70</v>
      </c>
      <c r="H72" s="25" t="s">
        <v>71</v>
      </c>
      <c r="J72" s="25" t="s">
        <v>72</v>
      </c>
      <c r="K72" s="25" t="s">
        <v>49</v>
      </c>
      <c r="L72" s="25" t="s">
        <v>73</v>
      </c>
    </row>
    <row r="73" spans="1:12">
      <c r="A73" s="2" t="s">
        <v>29</v>
      </c>
      <c r="B73" s="11">
        <f>'Simulation 1'!B25</f>
        <v>0.8</v>
      </c>
      <c r="C73" s="11">
        <f>'Simulation 1'!J38</f>
        <v>0.8</v>
      </c>
      <c r="D73" s="11">
        <f>'Simulation 1'!J52</f>
        <v>0.79999999999999982</v>
      </c>
      <c r="E73" s="11">
        <f>'Simulation 1'!H38</f>
        <v>0</v>
      </c>
      <c r="F73" s="11">
        <f>'Simulation 1'!H52</f>
        <v>0</v>
      </c>
      <c r="G73" s="13">
        <f>'Simulation 1'!F38</f>
        <v>592170.4</v>
      </c>
      <c r="H73" s="16">
        <f>'Simulation 1'!F52</f>
        <v>800000</v>
      </c>
      <c r="J73" t="s">
        <v>74</v>
      </c>
      <c r="K73" s="15">
        <f>'Simulation 1'!D18+'Simulation 1'!D19</f>
        <v>1740213</v>
      </c>
      <c r="L73" t="s">
        <v>75</v>
      </c>
    </row>
    <row r="74" spans="1:12">
      <c r="A74" s="2" t="s">
        <v>30</v>
      </c>
      <c r="B74" s="11">
        <f>'Simulation 1'!B26</f>
        <v>7.0000000000000007E-2</v>
      </c>
      <c r="C74" s="11">
        <f>'Simulation 1'!J39</f>
        <v>7.0000000000000007E-2</v>
      </c>
      <c r="D74" s="11">
        <f>'Simulation 1'!J53</f>
        <v>7.0000000000000007E-2</v>
      </c>
      <c r="E74" s="11">
        <f>'Simulation 1'!H39</f>
        <v>0</v>
      </c>
      <c r="F74" s="11">
        <f>'Simulation 1'!H53</f>
        <v>0</v>
      </c>
      <c r="G74" s="13">
        <f>'Simulation 1'!F39</f>
        <v>51814.91</v>
      </c>
      <c r="H74" s="16">
        <f>'Simulation 1'!F53</f>
        <v>70000.000000000015</v>
      </c>
      <c r="J74" t="s">
        <v>76</v>
      </c>
      <c r="K74" s="18">
        <f>MAX(E73:E78)</f>
        <v>0</v>
      </c>
      <c r="L74" t="s">
        <v>77</v>
      </c>
    </row>
    <row r="75" spans="1:12">
      <c r="A75" s="2" t="s">
        <v>31</v>
      </c>
      <c r="B75" s="11">
        <f>'Simulation 1'!B27</f>
        <v>7.0000000000000007E-2</v>
      </c>
      <c r="C75" s="11">
        <f>'Simulation 1'!J40</f>
        <v>7.0000000000000007E-2</v>
      </c>
      <c r="D75" s="11">
        <f>'Simulation 1'!J54</f>
        <v>7.0000000000000007E-2</v>
      </c>
      <c r="E75" s="11">
        <f>'Simulation 1'!H40</f>
        <v>0</v>
      </c>
      <c r="F75" s="11">
        <f>'Simulation 1'!H54</f>
        <v>0</v>
      </c>
      <c r="G75" s="13">
        <f>'Simulation 1'!F40</f>
        <v>51814.91</v>
      </c>
      <c r="H75" s="16">
        <f>'Simulation 1'!F54</f>
        <v>70000.000000000015</v>
      </c>
      <c r="J75" t="s">
        <v>78</v>
      </c>
      <c r="K75" s="18">
        <f>MAX(F73:F78)</f>
        <v>0</v>
      </c>
      <c r="L75" t="s">
        <v>79</v>
      </c>
    </row>
    <row r="76" spans="1:12">
      <c r="A76" s="2" t="s">
        <v>32</v>
      </c>
      <c r="B76" s="11">
        <f>'Simulation 1'!B28</f>
        <v>0.02</v>
      </c>
      <c r="C76" s="11">
        <f>'Simulation 1'!J41</f>
        <v>0.02</v>
      </c>
      <c r="D76" s="11">
        <f>'Simulation 1'!J55</f>
        <v>1.9999999999999997E-2</v>
      </c>
      <c r="E76" s="11">
        <f>'Simulation 1'!H41</f>
        <v>0</v>
      </c>
      <c r="F76" s="11">
        <f>'Simulation 1'!H55</f>
        <v>0</v>
      </c>
      <c r="G76" s="13">
        <f>'Simulation 1'!F41</f>
        <v>14804.26</v>
      </c>
      <c r="H76" s="16">
        <f>'Simulation 1'!F55</f>
        <v>20000</v>
      </c>
      <c r="J76" t="s">
        <v>80</v>
      </c>
      <c r="K76" s="18">
        <f>'Simulation 1'!F18</f>
        <v>1</v>
      </c>
      <c r="L76" t="s">
        <v>81</v>
      </c>
    </row>
    <row r="77" spans="1:12">
      <c r="A77" s="2" t="s">
        <v>33</v>
      </c>
      <c r="B77" s="11">
        <f>'Simulation 1'!B29</f>
        <v>0.02</v>
      </c>
      <c r="C77" s="11">
        <f>'Simulation 1'!J42</f>
        <v>0.02</v>
      </c>
      <c r="D77" s="11">
        <f>'Simulation 1'!J56</f>
        <v>1.9999999999999997E-2</v>
      </c>
      <c r="E77" s="11">
        <f>'Simulation 1'!H42</f>
        <v>0</v>
      </c>
      <c r="F77" s="11">
        <f>'Simulation 1'!H56</f>
        <v>0</v>
      </c>
      <c r="G77" s="13">
        <f>'Simulation 1'!F42</f>
        <v>14804.26</v>
      </c>
      <c r="H77" s="16">
        <f>'Simulation 1'!F56</f>
        <v>20000</v>
      </c>
      <c r="J77" t="s">
        <v>82</v>
      </c>
      <c r="K77" s="19">
        <f>'Simulation 1'!N53</f>
        <v>5877.406233070752</v>
      </c>
      <c r="L77" t="s">
        <v>83</v>
      </c>
    </row>
    <row r="78" spans="1:12">
      <c r="A78" s="4" t="s">
        <v>34</v>
      </c>
      <c r="B78" s="12">
        <f>'Simulation 1'!B30</f>
        <v>0.02</v>
      </c>
      <c r="C78" s="12">
        <f>'Simulation 1'!J43</f>
        <v>0.02</v>
      </c>
      <c r="D78" s="12">
        <f>'Simulation 1'!J57</f>
        <v>1.9999999999999997E-2</v>
      </c>
      <c r="E78" s="12">
        <f>'Simulation 1'!H43</f>
        <v>0</v>
      </c>
      <c r="F78" s="12">
        <f>'Simulation 1'!H57</f>
        <v>0</v>
      </c>
      <c r="G78" s="14">
        <f>'Simulation 1'!F43</f>
        <v>14804.26</v>
      </c>
      <c r="H78" s="17">
        <f>'Simulation 1'!F57</f>
        <v>20000</v>
      </c>
    </row>
    <row r="81" spans="1:4">
      <c r="A81" s="25" t="s">
        <v>38</v>
      </c>
      <c r="B81" s="25" t="s">
        <v>84</v>
      </c>
      <c r="C81" s="25" t="s">
        <v>85</v>
      </c>
      <c r="D81" s="25" t="s">
        <v>86</v>
      </c>
    </row>
    <row r="82" spans="1:4">
      <c r="A82" t="s">
        <v>29</v>
      </c>
      <c r="B82" s="18">
        <f>'Simulation 1'!B25</f>
        <v>0.8</v>
      </c>
      <c r="C82" s="18">
        <f>'Simulation 1'!J38</f>
        <v>0.8</v>
      </c>
      <c r="D82" s="18">
        <f>'Simulation 1'!J52</f>
        <v>0.79999999999999982</v>
      </c>
    </row>
    <row r="83" spans="1:4">
      <c r="A83" t="s">
        <v>30</v>
      </c>
      <c r="B83" s="18">
        <f>'Simulation 1'!B26</f>
        <v>7.0000000000000007E-2</v>
      </c>
      <c r="C83" s="18">
        <f>'Simulation 1'!J39</f>
        <v>7.0000000000000007E-2</v>
      </c>
      <c r="D83" s="18">
        <f>'Simulation 1'!J53</f>
        <v>7.0000000000000007E-2</v>
      </c>
    </row>
    <row r="84" spans="1:4">
      <c r="A84" t="s">
        <v>31</v>
      </c>
      <c r="B84" s="18">
        <f>'Simulation 1'!B27</f>
        <v>7.0000000000000007E-2</v>
      </c>
      <c r="C84" s="18">
        <f>'Simulation 1'!J40</f>
        <v>7.0000000000000007E-2</v>
      </c>
      <c r="D84" s="18">
        <f>'Simulation 1'!J54</f>
        <v>7.0000000000000007E-2</v>
      </c>
    </row>
    <row r="85" spans="1:4">
      <c r="A85" t="s">
        <v>32</v>
      </c>
      <c r="B85" s="18">
        <f>'Simulation 1'!B28</f>
        <v>0.02</v>
      </c>
      <c r="C85" s="18">
        <f>'Simulation 1'!J41</f>
        <v>0.02</v>
      </c>
      <c r="D85" s="18">
        <f>'Simulation 1'!J55</f>
        <v>1.9999999999999997E-2</v>
      </c>
    </row>
    <row r="86" spans="1:4">
      <c r="A86" t="s">
        <v>33</v>
      </c>
      <c r="B86" s="18">
        <f>'Simulation 1'!B29</f>
        <v>0.02</v>
      </c>
      <c r="C86" s="18">
        <f>'Simulation 1'!J42</f>
        <v>0.02</v>
      </c>
      <c r="D86" s="18">
        <f>'Simulation 1'!J56</f>
        <v>1.9999999999999997E-2</v>
      </c>
    </row>
    <row r="87" spans="1:4">
      <c r="A87" t="s">
        <v>34</v>
      </c>
      <c r="B87" s="18">
        <f>'Simulation 1'!B30</f>
        <v>0.02</v>
      </c>
      <c r="C87" s="18">
        <f>'Simulation 1'!J43</f>
        <v>0.02</v>
      </c>
      <c r="D87" s="18">
        <f>'Simulation 1'!J57</f>
        <v>1.9999999999999997E-2</v>
      </c>
    </row>
  </sheetData>
  <mergeCells count="8">
    <mergeCell ref="A67:C69"/>
    <mergeCell ref="D67:F69"/>
    <mergeCell ref="G67:I69"/>
    <mergeCell ref="J67:L69"/>
    <mergeCell ref="A63:C65"/>
    <mergeCell ref="D63:F65"/>
    <mergeCell ref="G63:I65"/>
    <mergeCell ref="J63:L65"/>
  </mergeCells>
  <dataValidations count="1">
    <dataValidation type="list" sqref="D38:D43 D52:D57" xr:uid="{00000000-0002-0000-0200-000000000000}">
      <formula1>"Yes,No"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5A80-89FE-423C-9398-B9DD3A28F8A0}">
  <dimension ref="A1:N58"/>
  <sheetViews>
    <sheetView showGridLines="0" zoomScale="70" zoomScaleNormal="70" workbookViewId="0">
      <selection activeCell="B3" sqref="B3"/>
    </sheetView>
  </sheetViews>
  <sheetFormatPr defaultRowHeight="14.4"/>
  <cols>
    <col min="1" max="1" width="25" style="42" bestFit="1" customWidth="1"/>
    <col min="2" max="2" width="13.09765625" style="42" bestFit="1" customWidth="1"/>
    <col min="3" max="3" width="9.09765625" style="42" bestFit="1" customWidth="1"/>
    <col min="4" max="4" width="17.296875" style="42" bestFit="1" customWidth="1"/>
    <col min="5" max="5" width="12.69921875" style="42" customWidth="1"/>
    <col min="6" max="6" width="16" style="42" bestFit="1" customWidth="1"/>
    <col min="7" max="7" width="21" style="42" bestFit="1" customWidth="1"/>
    <col min="8" max="8" width="15.5" style="42" bestFit="1" customWidth="1"/>
    <col min="9" max="9" width="15.5" style="42" customWidth="1"/>
    <col min="10" max="10" width="24" style="42" customWidth="1"/>
    <col min="11" max="11" width="8.796875" style="42" bestFit="1" customWidth="1"/>
    <col min="12" max="12" width="24.09765625" style="42" customWidth="1"/>
    <col min="13" max="13" width="19.3984375" style="42" bestFit="1" customWidth="1"/>
    <col min="14" max="14" width="10.296875" style="43" bestFit="1" customWidth="1"/>
    <col min="15" max="16384" width="8.796875" style="42"/>
  </cols>
  <sheetData>
    <row r="1" spans="1:14">
      <c r="A1" s="61" t="s">
        <v>103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3" spans="1:14">
      <c r="A3" s="46" t="s">
        <v>87</v>
      </c>
      <c r="B3" s="43">
        <v>5000000</v>
      </c>
      <c r="F3" s="50"/>
      <c r="G3" s="51"/>
      <c r="J3" s="46" t="s">
        <v>88</v>
      </c>
      <c r="K3" s="43">
        <f>SUM(E8:E14)</f>
        <v>750000</v>
      </c>
    </row>
    <row r="4" spans="1:14">
      <c r="A4" s="46" t="s">
        <v>89</v>
      </c>
      <c r="B4" s="43">
        <v>750000</v>
      </c>
    </row>
    <row r="5" spans="1:14">
      <c r="A5" s="46" t="s">
        <v>97</v>
      </c>
      <c r="B5" s="43">
        <v>2500</v>
      </c>
      <c r="G5" s="50"/>
      <c r="K5" s="43"/>
    </row>
    <row r="6" spans="1:14">
      <c r="K6" s="43"/>
    </row>
    <row r="7" spans="1:14">
      <c r="A7" s="47" t="s">
        <v>90</v>
      </c>
      <c r="B7" s="53" t="s">
        <v>91</v>
      </c>
      <c r="C7" s="53" t="s">
        <v>65</v>
      </c>
      <c r="D7" s="53" t="s">
        <v>89</v>
      </c>
      <c r="E7" s="53" t="s">
        <v>98</v>
      </c>
      <c r="F7" s="53" t="s">
        <v>53</v>
      </c>
      <c r="G7" s="53" t="s">
        <v>92</v>
      </c>
      <c r="H7" s="53" t="s">
        <v>93</v>
      </c>
      <c r="J7" s="46" t="s">
        <v>94</v>
      </c>
      <c r="K7" s="43">
        <f>B3/SUM(B8:B14)</f>
        <v>2000</v>
      </c>
      <c r="M7" s="60"/>
    </row>
    <row r="8" spans="1:14">
      <c r="A8" s="42" t="s">
        <v>29</v>
      </c>
      <c r="B8" s="40">
        <f>$B$5*C8</f>
        <v>2000</v>
      </c>
      <c r="C8" s="44">
        <v>0.8</v>
      </c>
      <c r="D8" s="40">
        <f>C8*$B$4</f>
        <v>600000</v>
      </c>
      <c r="E8" s="40">
        <v>100000</v>
      </c>
      <c r="F8" s="40">
        <f t="shared" ref="F8:F14" si="0">IF($B$4=0,0,E8/($B$3/SUM($B$8:$B$14)))</f>
        <v>50</v>
      </c>
      <c r="G8" s="40">
        <f>B8+F8</f>
        <v>2050</v>
      </c>
      <c r="H8" s="44">
        <f t="shared" ref="H8:H14" si="1">G8/SUM($G$8:$G$14)</f>
        <v>0.71304347826086956</v>
      </c>
      <c r="J8" s="46" t="s">
        <v>95</v>
      </c>
      <c r="K8" s="43">
        <f>B3+B4</f>
        <v>5750000</v>
      </c>
    </row>
    <row r="9" spans="1:14">
      <c r="A9" s="42" t="s">
        <v>30</v>
      </c>
      <c r="B9" s="40">
        <f t="shared" ref="B9:B13" si="2">$B$5*C9</f>
        <v>175.00000000000003</v>
      </c>
      <c r="C9" s="44">
        <v>7.0000000000000007E-2</v>
      </c>
      <c r="D9" s="40">
        <f t="shared" ref="D9:D14" si="3">C9*$B$4</f>
        <v>52500.000000000007</v>
      </c>
      <c r="E9" s="40">
        <f>D9</f>
        <v>52500.000000000007</v>
      </c>
      <c r="F9" s="40">
        <f t="shared" si="0"/>
        <v>26.250000000000004</v>
      </c>
      <c r="G9" s="40">
        <f t="shared" ref="G9:G14" si="4">B9+F9</f>
        <v>201.25000000000003</v>
      </c>
      <c r="H9" s="44">
        <f t="shared" si="1"/>
        <v>7.0000000000000007E-2</v>
      </c>
      <c r="J9" s="46" t="s">
        <v>96</v>
      </c>
      <c r="K9" s="43">
        <f>SUM(F8:F14)</f>
        <v>375</v>
      </c>
    </row>
    <row r="10" spans="1:14">
      <c r="A10" s="49" t="s">
        <v>100</v>
      </c>
      <c r="B10" s="40">
        <f t="shared" si="2"/>
        <v>175.00000000000003</v>
      </c>
      <c r="C10" s="44">
        <v>7.0000000000000007E-2</v>
      </c>
      <c r="D10" s="40">
        <f t="shared" si="3"/>
        <v>52500.000000000007</v>
      </c>
      <c r="E10" s="40">
        <f t="shared" ref="E10:E13" si="5">D10</f>
        <v>52500.000000000007</v>
      </c>
      <c r="F10" s="40">
        <f t="shared" si="0"/>
        <v>26.250000000000004</v>
      </c>
      <c r="G10" s="40">
        <f t="shared" si="4"/>
        <v>201.25000000000003</v>
      </c>
      <c r="H10" s="44">
        <f t="shared" si="1"/>
        <v>7.0000000000000007E-2</v>
      </c>
      <c r="J10" s="46" t="s">
        <v>92</v>
      </c>
      <c r="K10" s="43">
        <f>SUM(G8:G14)</f>
        <v>2875</v>
      </c>
    </row>
    <row r="11" spans="1:14">
      <c r="A11" s="42" t="s">
        <v>32</v>
      </c>
      <c r="B11" s="40">
        <f t="shared" si="2"/>
        <v>50</v>
      </c>
      <c r="C11" s="44">
        <v>0.02</v>
      </c>
      <c r="D11" s="40">
        <f t="shared" si="3"/>
        <v>15000</v>
      </c>
      <c r="E11" s="40">
        <f t="shared" si="5"/>
        <v>15000</v>
      </c>
      <c r="F11" s="40">
        <f t="shared" si="0"/>
        <v>7.5</v>
      </c>
      <c r="G11" s="40">
        <f t="shared" si="4"/>
        <v>57.5</v>
      </c>
      <c r="H11" s="44">
        <f t="shared" si="1"/>
        <v>0.02</v>
      </c>
    </row>
    <row r="12" spans="1:14">
      <c r="A12" s="42" t="s">
        <v>33</v>
      </c>
      <c r="B12" s="40">
        <f t="shared" si="2"/>
        <v>50</v>
      </c>
      <c r="C12" s="44">
        <v>0.02</v>
      </c>
      <c r="D12" s="40">
        <f t="shared" si="3"/>
        <v>15000</v>
      </c>
      <c r="E12" s="40">
        <f t="shared" si="5"/>
        <v>15000</v>
      </c>
      <c r="F12" s="40">
        <f t="shared" si="0"/>
        <v>7.5</v>
      </c>
      <c r="G12" s="40">
        <f t="shared" si="4"/>
        <v>57.5</v>
      </c>
      <c r="H12" s="44">
        <f t="shared" si="1"/>
        <v>0.02</v>
      </c>
      <c r="M12" s="43"/>
      <c r="N12" s="42"/>
    </row>
    <row r="13" spans="1:14">
      <c r="A13" s="42" t="s">
        <v>34</v>
      </c>
      <c r="B13" s="40">
        <f t="shared" si="2"/>
        <v>50</v>
      </c>
      <c r="C13" s="44">
        <v>0.02</v>
      </c>
      <c r="D13" s="40">
        <f t="shared" si="3"/>
        <v>15000</v>
      </c>
      <c r="E13" s="40">
        <f t="shared" si="5"/>
        <v>15000</v>
      </c>
      <c r="F13" s="40">
        <f t="shared" si="0"/>
        <v>7.5</v>
      </c>
      <c r="G13" s="40">
        <f t="shared" si="4"/>
        <v>57.5</v>
      </c>
      <c r="H13" s="44">
        <f t="shared" si="1"/>
        <v>0.02</v>
      </c>
      <c r="I13" s="44"/>
      <c r="L13" s="40"/>
      <c r="M13" s="59"/>
      <c r="N13" s="42"/>
    </row>
    <row r="14" spans="1:14">
      <c r="A14" s="42" t="s">
        <v>99</v>
      </c>
      <c r="B14" s="42">
        <v>0</v>
      </c>
      <c r="C14" s="42">
        <v>0</v>
      </c>
      <c r="D14" s="42">
        <f t="shared" si="3"/>
        <v>0</v>
      </c>
      <c r="E14" s="45">
        <f>B4-SUM(E8:E13)</f>
        <v>500000</v>
      </c>
      <c r="F14" s="40">
        <f t="shared" si="0"/>
        <v>250</v>
      </c>
      <c r="G14" s="40">
        <f t="shared" si="4"/>
        <v>250</v>
      </c>
      <c r="H14" s="44">
        <f t="shared" si="1"/>
        <v>8.6956521739130432E-2</v>
      </c>
      <c r="I14" s="44"/>
      <c r="M14" s="59"/>
    </row>
    <row r="15" spans="1:14">
      <c r="J15" s="52"/>
      <c r="M15" s="59"/>
      <c r="N15" s="42"/>
    </row>
    <row r="16" spans="1:14">
      <c r="A16" s="49" t="s">
        <v>35</v>
      </c>
      <c r="F16" s="45"/>
      <c r="H16" s="44"/>
      <c r="I16" s="44"/>
      <c r="J16" s="44"/>
      <c r="K16" s="44"/>
    </row>
    <row r="18" spans="1:14">
      <c r="A18" s="61" t="s">
        <v>104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20" spans="1:14">
      <c r="A20" s="46" t="s">
        <v>87</v>
      </c>
      <c r="B20" s="43">
        <v>6000000</v>
      </c>
      <c r="J20" s="46" t="s">
        <v>88</v>
      </c>
      <c r="K20" s="43">
        <f>SUM(E25:E31)</f>
        <v>750000</v>
      </c>
    </row>
    <row r="21" spans="1:14">
      <c r="A21" s="46" t="s">
        <v>89</v>
      </c>
      <c r="B21" s="43">
        <f>B4</f>
        <v>750000</v>
      </c>
    </row>
    <row r="22" spans="1:14">
      <c r="A22" s="46" t="s">
        <v>97</v>
      </c>
      <c r="B22" s="43">
        <v>2500</v>
      </c>
      <c r="K22" s="43"/>
    </row>
    <row r="23" spans="1:14">
      <c r="K23" s="43"/>
    </row>
    <row r="24" spans="1:14">
      <c r="A24" s="47" t="s">
        <v>90</v>
      </c>
      <c r="B24" s="47" t="s">
        <v>91</v>
      </c>
      <c r="C24" s="47" t="s">
        <v>65</v>
      </c>
      <c r="D24" s="47" t="s">
        <v>89</v>
      </c>
      <c r="E24" s="47" t="s">
        <v>98</v>
      </c>
      <c r="F24" s="47" t="s">
        <v>53</v>
      </c>
      <c r="G24" s="47" t="s">
        <v>92</v>
      </c>
      <c r="H24" s="47" t="s">
        <v>93</v>
      </c>
      <c r="I24" s="56"/>
      <c r="J24" s="46" t="s">
        <v>94</v>
      </c>
      <c r="K24" s="43">
        <f>B20/SUM(B25:B31)</f>
        <v>2400</v>
      </c>
    </row>
    <row r="25" spans="1:14">
      <c r="A25" s="42" t="s">
        <v>29</v>
      </c>
      <c r="B25" s="40">
        <f>$B$22*C25</f>
        <v>2000</v>
      </c>
      <c r="C25" s="44">
        <v>0.8</v>
      </c>
      <c r="D25" s="40">
        <f>C25*$B$4</f>
        <v>600000</v>
      </c>
      <c r="E25" s="40">
        <v>100000</v>
      </c>
      <c r="F25" s="40">
        <f>IF($B$21=0,0,E25/($B$20/SUM($B$25:$B$31)))</f>
        <v>41.666666666666664</v>
      </c>
      <c r="G25" s="40">
        <f>B25+F25</f>
        <v>2041.6666666666667</v>
      </c>
      <c r="H25" s="44">
        <f>G25/SUM($G$25:$G$31)</f>
        <v>0.72592592592592586</v>
      </c>
      <c r="I25" s="45"/>
      <c r="J25" s="46" t="s">
        <v>95</v>
      </c>
      <c r="K25" s="43">
        <f>B20+B21</f>
        <v>6750000</v>
      </c>
    </row>
    <row r="26" spans="1:14">
      <c r="A26" s="42" t="s">
        <v>30</v>
      </c>
      <c r="B26" s="40">
        <f t="shared" ref="B26:B30" si="6">$B$5*C26</f>
        <v>175.00000000000003</v>
      </c>
      <c r="C26" s="44">
        <v>7.0000000000000007E-2</v>
      </c>
      <c r="D26" s="40">
        <f t="shared" ref="D26:D31" si="7">C26*$B$4</f>
        <v>52500.000000000007</v>
      </c>
      <c r="E26" s="40">
        <f t="shared" ref="E26:E30" si="8">D26</f>
        <v>52500.000000000007</v>
      </c>
      <c r="F26" s="40">
        <f t="shared" ref="F26:F31" si="9">IF($B$21=0,0,E26/($B$20/SUM($B$25:$B$31)))</f>
        <v>21.875000000000004</v>
      </c>
      <c r="G26" s="40">
        <f t="shared" ref="G26:G31" si="10">B26+F26</f>
        <v>196.87500000000003</v>
      </c>
      <c r="H26" s="44">
        <f t="shared" ref="H26:H31" si="11">G26/SUM($G$25:$G$31)</f>
        <v>6.9999999999999993E-2</v>
      </c>
      <c r="I26" s="45"/>
      <c r="J26" s="46" t="s">
        <v>96</v>
      </c>
      <c r="K26" s="43">
        <f>SUM(F25:F31)</f>
        <v>312.5</v>
      </c>
    </row>
    <row r="27" spans="1:14">
      <c r="A27" s="42" t="s">
        <v>31</v>
      </c>
      <c r="B27" s="40">
        <f t="shared" si="6"/>
        <v>175.00000000000003</v>
      </c>
      <c r="C27" s="44">
        <v>7.0000000000000007E-2</v>
      </c>
      <c r="D27" s="40">
        <f t="shared" si="7"/>
        <v>52500.000000000007</v>
      </c>
      <c r="E27" s="40">
        <f t="shared" si="8"/>
        <v>52500.000000000007</v>
      </c>
      <c r="F27" s="40">
        <f t="shared" si="9"/>
        <v>21.875000000000004</v>
      </c>
      <c r="G27" s="40">
        <f t="shared" si="10"/>
        <v>196.87500000000003</v>
      </c>
      <c r="H27" s="44">
        <f t="shared" si="11"/>
        <v>6.9999999999999993E-2</v>
      </c>
      <c r="I27" s="45"/>
      <c r="J27" s="46" t="s">
        <v>92</v>
      </c>
      <c r="K27" s="43">
        <f>SUM(G25:G31)</f>
        <v>2812.5000000000005</v>
      </c>
    </row>
    <row r="28" spans="1:14">
      <c r="A28" s="42" t="s">
        <v>32</v>
      </c>
      <c r="B28" s="40">
        <f t="shared" si="6"/>
        <v>50</v>
      </c>
      <c r="C28" s="44">
        <v>0.02</v>
      </c>
      <c r="D28" s="40">
        <f t="shared" si="7"/>
        <v>15000</v>
      </c>
      <c r="E28" s="40">
        <f t="shared" si="8"/>
        <v>15000</v>
      </c>
      <c r="F28" s="40">
        <f t="shared" si="9"/>
        <v>6.25</v>
      </c>
      <c r="G28" s="40">
        <f t="shared" si="10"/>
        <v>56.25</v>
      </c>
      <c r="H28" s="44">
        <f t="shared" si="11"/>
        <v>1.9999999999999997E-2</v>
      </c>
      <c r="I28" s="45"/>
    </row>
    <row r="29" spans="1:14">
      <c r="A29" s="42" t="s">
        <v>33</v>
      </c>
      <c r="B29" s="40">
        <f t="shared" si="6"/>
        <v>50</v>
      </c>
      <c r="C29" s="44">
        <v>0.02</v>
      </c>
      <c r="D29" s="40">
        <f t="shared" si="7"/>
        <v>15000</v>
      </c>
      <c r="E29" s="40">
        <f t="shared" si="8"/>
        <v>15000</v>
      </c>
      <c r="F29" s="40">
        <f t="shared" si="9"/>
        <v>6.25</v>
      </c>
      <c r="G29" s="40">
        <f t="shared" si="10"/>
        <v>56.25</v>
      </c>
      <c r="H29" s="44">
        <f t="shared" si="11"/>
        <v>1.9999999999999997E-2</v>
      </c>
      <c r="I29" s="45"/>
    </row>
    <row r="30" spans="1:14">
      <c r="A30" s="42" t="s">
        <v>34</v>
      </c>
      <c r="B30" s="40">
        <f t="shared" si="6"/>
        <v>50</v>
      </c>
      <c r="C30" s="44">
        <v>0.02</v>
      </c>
      <c r="D30" s="40">
        <f t="shared" si="7"/>
        <v>15000</v>
      </c>
      <c r="E30" s="40">
        <f t="shared" si="8"/>
        <v>15000</v>
      </c>
      <c r="F30" s="40">
        <f t="shared" si="9"/>
        <v>6.25</v>
      </c>
      <c r="G30" s="40">
        <f t="shared" si="10"/>
        <v>56.25</v>
      </c>
      <c r="H30" s="44">
        <f t="shared" si="11"/>
        <v>1.9999999999999997E-2</v>
      </c>
    </row>
    <row r="31" spans="1:14">
      <c r="A31" s="42" t="s">
        <v>99</v>
      </c>
      <c r="B31" s="42">
        <v>0</v>
      </c>
      <c r="C31" s="42">
        <v>0</v>
      </c>
      <c r="D31" s="42">
        <f t="shared" si="7"/>
        <v>0</v>
      </c>
      <c r="E31" s="45">
        <f>B21-SUM(E25:E30)</f>
        <v>500000</v>
      </c>
      <c r="F31" s="40">
        <f t="shared" si="9"/>
        <v>208.33333333333334</v>
      </c>
      <c r="G31" s="40">
        <f t="shared" si="10"/>
        <v>208.33333333333334</v>
      </c>
      <c r="H31" s="44">
        <f t="shared" si="11"/>
        <v>7.407407407407407E-2</v>
      </c>
    </row>
    <row r="33" spans="1:14">
      <c r="H33" s="44">
        <f>SUM(H25:H31)</f>
        <v>0.99999999999999989</v>
      </c>
    </row>
    <row r="34" spans="1:14">
      <c r="A34" s="61" t="s">
        <v>170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</row>
    <row r="36" spans="1:14">
      <c r="A36" s="46" t="s">
        <v>87</v>
      </c>
      <c r="B36" s="43">
        <v>6000000</v>
      </c>
      <c r="F36" s="50"/>
      <c r="G36" s="51"/>
    </row>
    <row r="37" spans="1:14">
      <c r="A37" s="46" t="s">
        <v>89</v>
      </c>
      <c r="B37" s="43">
        <v>750000</v>
      </c>
    </row>
    <row r="38" spans="1:14">
      <c r="A38" s="46" t="s">
        <v>97</v>
      </c>
      <c r="B38" s="43">
        <v>2500</v>
      </c>
      <c r="G38" s="50"/>
    </row>
    <row r="40" spans="1:14">
      <c r="A40" s="53" t="s">
        <v>90</v>
      </c>
      <c r="B40" s="53" t="s">
        <v>91</v>
      </c>
      <c r="C40" s="53" t="s">
        <v>65</v>
      </c>
      <c r="D40" s="53" t="s">
        <v>89</v>
      </c>
      <c r="E40" s="53" t="s">
        <v>98</v>
      </c>
      <c r="F40" s="53" t="s">
        <v>53</v>
      </c>
      <c r="G40" s="53" t="s">
        <v>92</v>
      </c>
      <c r="H40" s="53" t="s">
        <v>93</v>
      </c>
      <c r="J40" s="111" t="s">
        <v>101</v>
      </c>
      <c r="K40" s="111"/>
    </row>
    <row r="41" spans="1:14">
      <c r="A41" s="42" t="s">
        <v>29</v>
      </c>
      <c r="B41" s="40">
        <f>$B$5*C41</f>
        <v>2000</v>
      </c>
      <c r="C41" s="44">
        <v>0.8</v>
      </c>
      <c r="D41" s="40">
        <f>C41*$B$4</f>
        <v>600000</v>
      </c>
      <c r="E41" s="40">
        <v>100000</v>
      </c>
      <c r="F41" s="40">
        <f t="shared" ref="F41:F46" si="12">IF($B$4=0,0,E41/($B$3/SUM($B$8:$B$14)))</f>
        <v>50</v>
      </c>
      <c r="G41" s="40">
        <f t="shared" ref="G41:G46" si="13">B41+F41</f>
        <v>2050</v>
      </c>
      <c r="H41" s="44">
        <f t="shared" ref="H41:H46" si="14">G41/SUM($G$8:$G$14)</f>
        <v>0.71304347826086956</v>
      </c>
      <c r="J41" s="112" t="s">
        <v>102</v>
      </c>
      <c r="K41" s="112"/>
    </row>
    <row r="42" spans="1:14">
      <c r="A42" s="42" t="s">
        <v>30</v>
      </c>
      <c r="B42" s="40">
        <f t="shared" ref="B42:B46" si="15">$B$5*C42</f>
        <v>175.00000000000003</v>
      </c>
      <c r="C42" s="44">
        <v>7.0000000000000007E-2</v>
      </c>
      <c r="D42" s="40">
        <f t="shared" ref="D42:D46" si="16">C42*$B$4</f>
        <v>52500.000000000007</v>
      </c>
      <c r="E42" s="40">
        <f>D42+K42</f>
        <v>227500.00000000003</v>
      </c>
      <c r="F42" s="40">
        <f t="shared" si="12"/>
        <v>113.75000000000001</v>
      </c>
      <c r="G42" s="40">
        <f t="shared" si="13"/>
        <v>288.75000000000006</v>
      </c>
      <c r="H42" s="44">
        <f t="shared" si="14"/>
        <v>0.10043478260869568</v>
      </c>
      <c r="J42" s="58">
        <f>C9/20%</f>
        <v>0.35000000000000003</v>
      </c>
      <c r="K42" s="54">
        <f>J42*$E$14</f>
        <v>175000.00000000003</v>
      </c>
    </row>
    <row r="43" spans="1:14">
      <c r="A43" s="49" t="s">
        <v>100</v>
      </c>
      <c r="B43" s="40">
        <f t="shared" si="15"/>
        <v>175.00000000000003</v>
      </c>
      <c r="C43" s="44">
        <v>7.0000000000000007E-2</v>
      </c>
      <c r="D43" s="40">
        <f t="shared" si="16"/>
        <v>52500.000000000007</v>
      </c>
      <c r="E43" s="40">
        <f>D43+K43</f>
        <v>227500.00000000003</v>
      </c>
      <c r="F43" s="40">
        <f t="shared" si="12"/>
        <v>113.75000000000001</v>
      </c>
      <c r="G43" s="40">
        <f t="shared" si="13"/>
        <v>288.75000000000006</v>
      </c>
      <c r="H43" s="44">
        <f t="shared" si="14"/>
        <v>0.10043478260869568</v>
      </c>
      <c r="J43" s="58">
        <f>C10/20%</f>
        <v>0.35000000000000003</v>
      </c>
      <c r="K43" s="54">
        <f>J43*$E$14</f>
        <v>175000.00000000003</v>
      </c>
    </row>
    <row r="44" spans="1:14">
      <c r="A44" s="42" t="s">
        <v>32</v>
      </c>
      <c r="B44" s="40">
        <f t="shared" si="15"/>
        <v>50</v>
      </c>
      <c r="C44" s="44">
        <v>0.02</v>
      </c>
      <c r="D44" s="40">
        <f t="shared" si="16"/>
        <v>15000</v>
      </c>
      <c r="E44" s="40">
        <f>D44+K44</f>
        <v>64999.999999999993</v>
      </c>
      <c r="F44" s="40">
        <f t="shared" si="12"/>
        <v>32.499999999999993</v>
      </c>
      <c r="G44" s="40">
        <f t="shared" si="13"/>
        <v>82.5</v>
      </c>
      <c r="H44" s="44">
        <f t="shared" si="14"/>
        <v>2.8695652173913042E-2</v>
      </c>
      <c r="J44" s="58">
        <f>C11/20%</f>
        <v>9.9999999999999992E-2</v>
      </c>
      <c r="K44" s="54">
        <f>J44*$E$14</f>
        <v>49999.999999999993</v>
      </c>
    </row>
    <row r="45" spans="1:14">
      <c r="A45" s="42" t="s">
        <v>33</v>
      </c>
      <c r="B45" s="40">
        <f t="shared" si="15"/>
        <v>50</v>
      </c>
      <c r="C45" s="44">
        <v>0.02</v>
      </c>
      <c r="D45" s="40">
        <f t="shared" si="16"/>
        <v>15000</v>
      </c>
      <c r="E45" s="40">
        <f>D45+K45</f>
        <v>64999.999999999993</v>
      </c>
      <c r="F45" s="40">
        <f t="shared" si="12"/>
        <v>32.499999999999993</v>
      </c>
      <c r="G45" s="40">
        <f t="shared" si="13"/>
        <v>82.5</v>
      </c>
      <c r="H45" s="44">
        <f t="shared" si="14"/>
        <v>2.8695652173913042E-2</v>
      </c>
      <c r="J45" s="58">
        <f>C12/20%</f>
        <v>9.9999999999999992E-2</v>
      </c>
      <c r="K45" s="54">
        <f>J45*$E$14</f>
        <v>49999.999999999993</v>
      </c>
    </row>
    <row r="46" spans="1:14">
      <c r="A46" s="42" t="s">
        <v>34</v>
      </c>
      <c r="B46" s="40">
        <f t="shared" si="15"/>
        <v>50</v>
      </c>
      <c r="C46" s="44">
        <v>0.02</v>
      </c>
      <c r="D46" s="40">
        <f t="shared" si="16"/>
        <v>15000</v>
      </c>
      <c r="E46" s="40">
        <f>D46+K46</f>
        <v>64999.999999999993</v>
      </c>
      <c r="F46" s="40">
        <f t="shared" si="12"/>
        <v>32.499999999999993</v>
      </c>
      <c r="G46" s="40">
        <f t="shared" si="13"/>
        <v>82.5</v>
      </c>
      <c r="H46" s="44">
        <f t="shared" si="14"/>
        <v>2.8695652173913042E-2</v>
      </c>
      <c r="J46" s="58">
        <f>C13/20%</f>
        <v>9.9999999999999992E-2</v>
      </c>
      <c r="K46" s="54">
        <f>J46*$E$14</f>
        <v>49999.999999999993</v>
      </c>
    </row>
    <row r="48" spans="1:14">
      <c r="A48" s="49" t="s">
        <v>35</v>
      </c>
      <c r="E48" s="55"/>
      <c r="F48" s="45"/>
      <c r="H48" s="44"/>
    </row>
    <row r="50" spans="5:6">
      <c r="E50" s="57"/>
      <c r="F50" s="57"/>
    </row>
    <row r="51" spans="5:6">
      <c r="E51" s="40"/>
      <c r="F51" s="40"/>
    </row>
    <row r="53" spans="5:6">
      <c r="E53" s="57"/>
      <c r="F53" s="56"/>
    </row>
    <row r="54" spans="5:6">
      <c r="E54" s="57"/>
      <c r="F54" s="40"/>
    </row>
    <row r="58" spans="5:6">
      <c r="F58" s="40"/>
    </row>
  </sheetData>
  <mergeCells count="2">
    <mergeCell ref="J40:K40"/>
    <mergeCell ref="J41:K4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ADA3-CEED-425D-93A5-B15A5AFB77EF}">
  <dimension ref="A1:N43"/>
  <sheetViews>
    <sheetView showGridLines="0" tabSelected="1" zoomScale="70" zoomScaleNormal="70" workbookViewId="0">
      <selection activeCell="H35" sqref="H35"/>
    </sheetView>
  </sheetViews>
  <sheetFormatPr defaultRowHeight="14.4"/>
  <cols>
    <col min="1" max="1" width="31.5" style="62" bestFit="1" customWidth="1"/>
    <col min="2" max="2" width="32.59765625" style="62" customWidth="1"/>
    <col min="3" max="3" width="32.09765625" style="62" customWidth="1"/>
    <col min="4" max="4" width="26.5" style="62" bestFit="1" customWidth="1"/>
    <col min="5" max="5" width="18" style="62" customWidth="1"/>
    <col min="6" max="6" width="15" style="62" customWidth="1"/>
    <col min="7" max="7" width="18" style="62" customWidth="1"/>
    <col min="8" max="8" width="15" style="62" customWidth="1"/>
    <col min="9" max="10" width="17" style="62" hidden="1" customWidth="1"/>
    <col min="11" max="11" width="17" style="62" customWidth="1"/>
    <col min="12" max="12" width="20" style="62" customWidth="1"/>
    <col min="13" max="13" width="16" style="62" customWidth="1"/>
    <col min="14" max="14" width="17" style="62" customWidth="1"/>
    <col min="15" max="16384" width="8.796875" style="62"/>
  </cols>
  <sheetData>
    <row r="1" spans="1:14">
      <c r="A1" s="97" t="s">
        <v>171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>
      <c r="A3" s="64" t="s">
        <v>87</v>
      </c>
      <c r="B3" s="113">
        <v>6200000</v>
      </c>
      <c r="C3" s="63"/>
      <c r="D3" s="98" t="s">
        <v>140</v>
      </c>
      <c r="E3" s="99"/>
      <c r="F3" s="99"/>
      <c r="G3" s="99"/>
      <c r="H3" s="63"/>
      <c r="I3" s="63"/>
      <c r="J3" s="63"/>
      <c r="K3" s="63"/>
      <c r="L3" s="63"/>
      <c r="M3" s="63"/>
      <c r="N3" s="63"/>
    </row>
    <row r="4" spans="1:14">
      <c r="A4" s="64" t="s">
        <v>139</v>
      </c>
      <c r="B4" s="113">
        <v>750000</v>
      </c>
      <c r="C4" s="63"/>
      <c r="D4" s="65" t="s">
        <v>138</v>
      </c>
      <c r="E4" s="66">
        <f>SUM(E13:E18)</f>
        <v>250000</v>
      </c>
      <c r="F4" s="63"/>
      <c r="G4" s="63"/>
      <c r="H4" s="63"/>
      <c r="I4" s="63"/>
      <c r="J4" s="63"/>
      <c r="K4" s="63"/>
      <c r="L4" s="63"/>
      <c r="M4" s="63"/>
      <c r="N4" s="63"/>
    </row>
    <row r="5" spans="1:14">
      <c r="A5" s="64" t="s">
        <v>137</v>
      </c>
      <c r="B5" s="114">
        <v>2500</v>
      </c>
      <c r="C5" s="63"/>
      <c r="D5" s="65" t="s">
        <v>136</v>
      </c>
      <c r="E5" s="66">
        <f>MAX(0,$B$4-E4)</f>
        <v>500000</v>
      </c>
      <c r="F5" s="63"/>
      <c r="G5" s="63"/>
      <c r="H5" s="63"/>
      <c r="I5" s="63"/>
      <c r="J5" s="63"/>
      <c r="K5" s="63"/>
      <c r="L5" s="63"/>
      <c r="M5" s="63"/>
      <c r="N5" s="63"/>
    </row>
    <row r="6" spans="1:14">
      <c r="A6" s="64" t="s">
        <v>95</v>
      </c>
      <c r="B6" s="67">
        <f>B3+B4</f>
        <v>6950000</v>
      </c>
      <c r="C6" s="63"/>
      <c r="D6" s="65" t="s">
        <v>135</v>
      </c>
      <c r="E6" s="66">
        <f>E4+E5</f>
        <v>750000</v>
      </c>
      <c r="F6" s="63"/>
      <c r="G6" s="63"/>
      <c r="H6" s="63"/>
      <c r="I6" s="63"/>
      <c r="J6" s="63"/>
      <c r="K6" s="63"/>
      <c r="L6" s="63"/>
      <c r="M6" s="63"/>
      <c r="N6" s="63"/>
    </row>
    <row r="7" spans="1:14">
      <c r="A7" s="64" t="s">
        <v>94</v>
      </c>
      <c r="B7" s="67">
        <f>B3/B5</f>
        <v>2480</v>
      </c>
      <c r="C7" s="63"/>
      <c r="D7" s="65" t="s">
        <v>134</v>
      </c>
      <c r="E7" s="66">
        <f>E6-$B$4</f>
        <v>0</v>
      </c>
      <c r="F7" s="63"/>
      <c r="G7" s="63"/>
      <c r="H7" s="63"/>
      <c r="I7" s="63"/>
      <c r="J7" s="63"/>
      <c r="K7" s="63"/>
      <c r="L7" s="63"/>
      <c r="M7" s="63"/>
      <c r="N7" s="63"/>
    </row>
    <row r="8" spans="1:14">
      <c r="A8" s="64" t="s">
        <v>96</v>
      </c>
      <c r="B8" s="68">
        <f>B4/B7</f>
        <v>302.41935483870969</v>
      </c>
      <c r="C8" s="63"/>
      <c r="D8" s="65" t="s">
        <v>133</v>
      </c>
      <c r="E8" s="66">
        <f>SUM(G13:G18)</f>
        <v>500000</v>
      </c>
      <c r="F8" s="63"/>
      <c r="G8" s="63"/>
      <c r="H8" s="63"/>
      <c r="I8" s="63"/>
      <c r="J8" s="63"/>
      <c r="K8" s="63"/>
      <c r="L8" s="63"/>
      <c r="M8" s="63"/>
      <c r="N8" s="63"/>
    </row>
    <row r="9" spans="1:14">
      <c r="A9" s="64" t="s">
        <v>92</v>
      </c>
      <c r="B9" s="68">
        <f>B5+B8</f>
        <v>2802.4193548387098</v>
      </c>
      <c r="C9" s="63"/>
      <c r="D9" s="65" t="s">
        <v>132</v>
      </c>
      <c r="E9" s="66">
        <f>SUM(I13:I18)</f>
        <v>0</v>
      </c>
      <c r="F9" s="63"/>
      <c r="G9" s="63"/>
      <c r="H9" s="63"/>
      <c r="I9" s="63"/>
      <c r="J9" s="63"/>
      <c r="K9" s="63"/>
      <c r="L9" s="63"/>
      <c r="M9" s="63"/>
      <c r="N9" s="63"/>
    </row>
    <row r="10" spans="1:14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</row>
    <row r="11" spans="1:14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</row>
    <row r="12" spans="1:14">
      <c r="A12" s="69" t="s">
        <v>90</v>
      </c>
      <c r="B12" s="70" t="s">
        <v>91</v>
      </c>
      <c r="C12" s="70" t="s">
        <v>65</v>
      </c>
      <c r="D12" s="70" t="s">
        <v>131</v>
      </c>
      <c r="E12" s="70" t="s">
        <v>98</v>
      </c>
      <c r="F12" s="70" t="s">
        <v>130</v>
      </c>
      <c r="G12" s="70" t="s">
        <v>129</v>
      </c>
      <c r="H12" s="70" t="s">
        <v>128</v>
      </c>
      <c r="I12" s="70" t="s">
        <v>127</v>
      </c>
      <c r="J12" s="70" t="s">
        <v>126</v>
      </c>
      <c r="K12" s="70" t="s">
        <v>53</v>
      </c>
      <c r="L12" s="70" t="s">
        <v>92</v>
      </c>
      <c r="M12" s="70" t="s">
        <v>93</v>
      </c>
      <c r="N12" s="70" t="s">
        <v>125</v>
      </c>
    </row>
    <row r="13" spans="1:14">
      <c r="A13" s="71" t="s">
        <v>29</v>
      </c>
      <c r="B13" s="73">
        <v>2000</v>
      </c>
      <c r="C13" s="74">
        <f t="shared" ref="C13:C19" si="0">B13/$B$5</f>
        <v>0.8</v>
      </c>
      <c r="D13" s="75">
        <f t="shared" ref="D13:D18" si="1">C13*$B$4</f>
        <v>600000</v>
      </c>
      <c r="E13" s="115">
        <v>100000</v>
      </c>
      <c r="F13" s="76">
        <f t="shared" ref="F13:F18" si="2">D13/$B$7</f>
        <v>241.93548387096774</v>
      </c>
      <c r="G13" s="76">
        <f t="shared" ref="G13:G18" si="3">MAX(0,D13-E13)</f>
        <v>500000</v>
      </c>
      <c r="H13" s="116" t="s">
        <v>123</v>
      </c>
      <c r="I13" s="75">
        <f t="shared" ref="I13:I18" si="4">IF(H13="Yes",MAX(0,E13-D13),0)</f>
        <v>0</v>
      </c>
      <c r="J13" s="74">
        <f t="shared" ref="J13:J18" si="5">IF($E$9=0,0,I13/$E$9)</f>
        <v>0</v>
      </c>
      <c r="K13" s="76">
        <f t="shared" ref="K13:K19" si="6">E13/$B$7</f>
        <v>40.322580645161288</v>
      </c>
      <c r="L13" s="76">
        <f t="shared" ref="L13:L19" si="7">B13+K13</f>
        <v>2040.3225806451612</v>
      </c>
      <c r="M13" s="74">
        <f t="shared" ref="M13:M19" si="8">L13/$B$9</f>
        <v>0.72805755395683447</v>
      </c>
      <c r="N13" s="74">
        <f t="shared" ref="N13:N19" si="9">M13-C13</f>
        <v>-7.1942446043165575E-2</v>
      </c>
    </row>
    <row r="14" spans="1:14">
      <c r="A14" s="71" t="s">
        <v>30</v>
      </c>
      <c r="B14" s="73">
        <v>175</v>
      </c>
      <c r="C14" s="74">
        <f t="shared" si="0"/>
        <v>7.0000000000000007E-2</v>
      </c>
      <c r="D14" s="75">
        <f t="shared" si="1"/>
        <v>52500.000000000007</v>
      </c>
      <c r="E14" s="115">
        <f t="shared" ref="E14:E18" si="10">D14</f>
        <v>52500.000000000007</v>
      </c>
      <c r="F14" s="76">
        <f t="shared" si="2"/>
        <v>21.16935483870968</v>
      </c>
      <c r="G14" s="76">
        <f t="shared" si="3"/>
        <v>0</v>
      </c>
      <c r="H14" s="116" t="s">
        <v>123</v>
      </c>
      <c r="I14" s="75">
        <f t="shared" si="4"/>
        <v>0</v>
      </c>
      <c r="J14" s="74">
        <f t="shared" si="5"/>
        <v>0</v>
      </c>
      <c r="K14" s="76">
        <f t="shared" si="6"/>
        <v>21.16935483870968</v>
      </c>
      <c r="L14" s="76">
        <f t="shared" si="7"/>
        <v>196.16935483870969</v>
      </c>
      <c r="M14" s="74">
        <f t="shared" si="8"/>
        <v>7.0000000000000007E-2</v>
      </c>
      <c r="N14" s="74">
        <f t="shared" si="9"/>
        <v>0</v>
      </c>
    </row>
    <row r="15" spans="1:14">
      <c r="A15" s="71" t="s">
        <v>100</v>
      </c>
      <c r="B15" s="73">
        <v>175</v>
      </c>
      <c r="C15" s="74">
        <f t="shared" si="0"/>
        <v>7.0000000000000007E-2</v>
      </c>
      <c r="D15" s="75">
        <f t="shared" si="1"/>
        <v>52500.000000000007</v>
      </c>
      <c r="E15" s="115">
        <f t="shared" si="10"/>
        <v>52500.000000000007</v>
      </c>
      <c r="F15" s="76">
        <f t="shared" si="2"/>
        <v>21.16935483870968</v>
      </c>
      <c r="G15" s="76">
        <f t="shared" si="3"/>
        <v>0</v>
      </c>
      <c r="H15" s="116" t="s">
        <v>123</v>
      </c>
      <c r="I15" s="75">
        <f t="shared" si="4"/>
        <v>0</v>
      </c>
      <c r="J15" s="74">
        <f t="shared" si="5"/>
        <v>0</v>
      </c>
      <c r="K15" s="76">
        <f t="shared" si="6"/>
        <v>21.16935483870968</v>
      </c>
      <c r="L15" s="76">
        <f t="shared" si="7"/>
        <v>196.16935483870969</v>
      </c>
      <c r="M15" s="74">
        <f t="shared" si="8"/>
        <v>7.0000000000000007E-2</v>
      </c>
      <c r="N15" s="74">
        <f t="shared" si="9"/>
        <v>0</v>
      </c>
    </row>
    <row r="16" spans="1:14">
      <c r="A16" s="71" t="s">
        <v>124</v>
      </c>
      <c r="B16" s="73">
        <v>50</v>
      </c>
      <c r="C16" s="74">
        <f t="shared" si="0"/>
        <v>0.02</v>
      </c>
      <c r="D16" s="75">
        <f t="shared" si="1"/>
        <v>15000</v>
      </c>
      <c r="E16" s="115">
        <f t="shared" si="10"/>
        <v>15000</v>
      </c>
      <c r="F16" s="76">
        <f t="shared" si="2"/>
        <v>6.0483870967741939</v>
      </c>
      <c r="G16" s="76">
        <f t="shared" si="3"/>
        <v>0</v>
      </c>
      <c r="H16" s="116" t="s">
        <v>123</v>
      </c>
      <c r="I16" s="75">
        <f t="shared" si="4"/>
        <v>0</v>
      </c>
      <c r="J16" s="74">
        <f t="shared" si="5"/>
        <v>0</v>
      </c>
      <c r="K16" s="76">
        <f t="shared" si="6"/>
        <v>6.0483870967741939</v>
      </c>
      <c r="L16" s="76">
        <f t="shared" si="7"/>
        <v>56.048387096774192</v>
      </c>
      <c r="M16" s="74">
        <f t="shared" si="8"/>
        <v>0.02</v>
      </c>
      <c r="N16" s="74">
        <f t="shared" si="9"/>
        <v>0</v>
      </c>
    </row>
    <row r="17" spans="1:14">
      <c r="A17" s="71" t="s">
        <v>33</v>
      </c>
      <c r="B17" s="73">
        <v>50</v>
      </c>
      <c r="C17" s="74">
        <f t="shared" si="0"/>
        <v>0.02</v>
      </c>
      <c r="D17" s="75">
        <f t="shared" si="1"/>
        <v>15000</v>
      </c>
      <c r="E17" s="115">
        <f t="shared" si="10"/>
        <v>15000</v>
      </c>
      <c r="F17" s="76">
        <f t="shared" si="2"/>
        <v>6.0483870967741939</v>
      </c>
      <c r="G17" s="76">
        <f t="shared" si="3"/>
        <v>0</v>
      </c>
      <c r="H17" s="116" t="s">
        <v>123</v>
      </c>
      <c r="I17" s="75">
        <f t="shared" si="4"/>
        <v>0</v>
      </c>
      <c r="J17" s="74">
        <f t="shared" si="5"/>
        <v>0</v>
      </c>
      <c r="K17" s="76">
        <f t="shared" si="6"/>
        <v>6.0483870967741939</v>
      </c>
      <c r="L17" s="76">
        <f t="shared" si="7"/>
        <v>56.048387096774192</v>
      </c>
      <c r="M17" s="74">
        <f t="shared" si="8"/>
        <v>0.02</v>
      </c>
      <c r="N17" s="74">
        <f t="shared" si="9"/>
        <v>0</v>
      </c>
    </row>
    <row r="18" spans="1:14">
      <c r="A18" s="71" t="s">
        <v>34</v>
      </c>
      <c r="B18" s="73">
        <v>50</v>
      </c>
      <c r="C18" s="74">
        <f t="shared" si="0"/>
        <v>0.02</v>
      </c>
      <c r="D18" s="75">
        <f t="shared" si="1"/>
        <v>15000</v>
      </c>
      <c r="E18" s="115">
        <f t="shared" si="10"/>
        <v>15000</v>
      </c>
      <c r="F18" s="76">
        <f t="shared" si="2"/>
        <v>6.0483870967741939</v>
      </c>
      <c r="G18" s="76">
        <f t="shared" si="3"/>
        <v>0</v>
      </c>
      <c r="H18" s="116" t="s">
        <v>123</v>
      </c>
      <c r="I18" s="75">
        <f t="shared" si="4"/>
        <v>0</v>
      </c>
      <c r="J18" s="74">
        <f t="shared" si="5"/>
        <v>0</v>
      </c>
      <c r="K18" s="76">
        <f t="shared" si="6"/>
        <v>6.0483870967741939</v>
      </c>
      <c r="L18" s="76">
        <f t="shared" si="7"/>
        <v>56.048387096774192</v>
      </c>
      <c r="M18" s="74">
        <f t="shared" si="8"/>
        <v>0.02</v>
      </c>
      <c r="N18" s="74">
        <f t="shared" si="9"/>
        <v>0</v>
      </c>
    </row>
    <row r="19" spans="1:14">
      <c r="A19" s="71" t="s">
        <v>122</v>
      </c>
      <c r="B19" s="73">
        <v>0</v>
      </c>
      <c r="C19" s="74">
        <f t="shared" si="0"/>
        <v>0</v>
      </c>
      <c r="D19" s="75">
        <f>0</f>
        <v>0</v>
      </c>
      <c r="E19" s="117">
        <f>MAX(0,$B$4-SUM(E13:E18))</f>
        <v>500000</v>
      </c>
      <c r="F19" s="76">
        <f>0</f>
        <v>0</v>
      </c>
      <c r="G19" s="76">
        <f>0</f>
        <v>0</v>
      </c>
      <c r="H19" s="72" t="s">
        <v>121</v>
      </c>
      <c r="I19" s="75">
        <f>0</f>
        <v>0</v>
      </c>
      <c r="J19" s="74">
        <f>0</f>
        <v>0</v>
      </c>
      <c r="K19" s="76">
        <f t="shared" si="6"/>
        <v>201.61290322580646</v>
      </c>
      <c r="L19" s="76">
        <f t="shared" si="7"/>
        <v>201.61290322580646</v>
      </c>
      <c r="M19" s="74">
        <f t="shared" si="8"/>
        <v>7.1942446043165464E-2</v>
      </c>
      <c r="N19" s="74">
        <f t="shared" si="9"/>
        <v>7.1942446043165464E-2</v>
      </c>
    </row>
    <row r="20" spans="1:14">
      <c r="A20" s="71"/>
      <c r="B20" s="73"/>
      <c r="C20" s="74"/>
      <c r="D20" s="75"/>
      <c r="E20" s="75"/>
      <c r="F20" s="76"/>
      <c r="G20" s="76"/>
      <c r="H20" s="72"/>
      <c r="I20" s="75"/>
      <c r="J20" s="74"/>
      <c r="K20" s="76"/>
      <c r="L20" s="76"/>
      <c r="M20" s="74"/>
      <c r="N20" s="74"/>
    </row>
    <row r="21" spans="1:14">
      <c r="A21" s="77" t="s">
        <v>35</v>
      </c>
      <c r="B21" s="78">
        <f t="shared" ref="B21:G21" si="11">SUM(B13:B19)</f>
        <v>2500</v>
      </c>
      <c r="C21" s="79">
        <f t="shared" si="11"/>
        <v>1.0000000000000002</v>
      </c>
      <c r="D21" s="80">
        <f t="shared" si="11"/>
        <v>750000</v>
      </c>
      <c r="E21" s="80">
        <f t="shared" si="11"/>
        <v>750000</v>
      </c>
      <c r="F21" s="81">
        <f t="shared" si="11"/>
        <v>302.41935483870975</v>
      </c>
      <c r="G21" s="81">
        <f t="shared" si="11"/>
        <v>500000</v>
      </c>
      <c r="H21" s="82"/>
      <c r="I21" s="80">
        <f t="shared" ref="I21:N21" si="12">SUM(I13:I19)</f>
        <v>0</v>
      </c>
      <c r="J21" s="79">
        <f t="shared" si="12"/>
        <v>0</v>
      </c>
      <c r="K21" s="81">
        <f t="shared" si="12"/>
        <v>302.41935483870969</v>
      </c>
      <c r="L21" s="81">
        <f t="shared" si="12"/>
        <v>2802.4193548387093</v>
      </c>
      <c r="M21" s="79">
        <f t="shared" si="12"/>
        <v>1</v>
      </c>
      <c r="N21" s="79">
        <f t="shared" si="12"/>
        <v>-1.1102230246251565E-16</v>
      </c>
    </row>
    <row r="22" spans="1:14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1:14">
      <c r="A23" s="100" t="s">
        <v>120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</row>
    <row r="24" spans="1:1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</row>
    <row r="25" spans="1:14">
      <c r="A25" s="83" t="s">
        <v>119</v>
      </c>
      <c r="B25" s="84" t="s">
        <v>118</v>
      </c>
      <c r="C25" s="84" t="s">
        <v>117</v>
      </c>
      <c r="D25" s="85" t="s">
        <v>73</v>
      </c>
      <c r="E25" s="63"/>
      <c r="F25" s="63"/>
      <c r="G25" s="63"/>
      <c r="H25" s="63"/>
      <c r="I25" s="63"/>
      <c r="J25" s="63"/>
      <c r="K25" s="63"/>
      <c r="L25" s="63"/>
      <c r="M25" s="63"/>
      <c r="N25" s="63"/>
    </row>
    <row r="26" spans="1:14" ht="27.6">
      <c r="A26" s="86" t="s">
        <v>116</v>
      </c>
      <c r="B26" s="87" t="s">
        <v>115</v>
      </c>
      <c r="C26" s="87" t="e">
        <f>Pre-money / Existing Shares</f>
        <v>#NAME?</v>
      </c>
      <c r="D26" s="88" t="s">
        <v>114</v>
      </c>
      <c r="E26" s="63"/>
      <c r="F26" s="63"/>
      <c r="G26" s="63"/>
      <c r="H26" s="63"/>
      <c r="I26" s="63"/>
      <c r="J26" s="63"/>
      <c r="K26" s="63"/>
      <c r="L26" s="63"/>
      <c r="M26" s="63"/>
      <c r="N26" s="63"/>
    </row>
    <row r="27" spans="1:14" ht="27.6">
      <c r="A27" s="86" t="s">
        <v>113</v>
      </c>
      <c r="B27" s="87" t="s">
        <v>112</v>
      </c>
      <c r="C27" s="87" t="e">
        <f>Actual Investment / Price per Share</f>
        <v>#NAME?</v>
      </c>
      <c r="D27" s="88" t="s">
        <v>111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</row>
    <row r="28" spans="1:14" ht="27.6">
      <c r="A28" s="86" t="s">
        <v>110</v>
      </c>
      <c r="B28" s="87" t="s">
        <v>109</v>
      </c>
      <c r="C28" s="87" t="e">
        <f>Final Shares / Total Shares After Round</f>
        <v>#NAME?</v>
      </c>
      <c r="D28" s="88" t="s">
        <v>108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</row>
    <row r="29" spans="1:14" ht="27.6">
      <c r="A29" s="89" t="s">
        <v>107</v>
      </c>
      <c r="B29" s="90" t="s">
        <v>106</v>
      </c>
      <c r="C29" s="90" t="e">
        <f>MAX(0, Required Round - SUM(Existing Actual Investments))</f>
        <v>#NAME?</v>
      </c>
      <c r="D29" s="91" t="s">
        <v>105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</row>
    <row r="32" spans="1:14">
      <c r="A32" s="101" t="s">
        <v>169</v>
      </c>
      <c r="B32" s="101"/>
      <c r="C32" s="101"/>
      <c r="D32" s="101"/>
      <c r="E32" s="101"/>
      <c r="F32" s="101"/>
    </row>
    <row r="33" spans="1:6">
      <c r="A33" s="92"/>
      <c r="B33" s="92"/>
      <c r="C33" s="92"/>
      <c r="D33" s="92"/>
      <c r="E33" s="92"/>
      <c r="F33" s="92"/>
    </row>
    <row r="34" spans="1:6">
      <c r="A34" s="94" t="s">
        <v>168</v>
      </c>
      <c r="B34" s="94" t="s">
        <v>167</v>
      </c>
      <c r="C34" s="94" t="s">
        <v>166</v>
      </c>
      <c r="D34" s="94" t="s">
        <v>165</v>
      </c>
      <c r="E34" s="92"/>
      <c r="F34" s="92"/>
    </row>
    <row r="35" spans="1:6" ht="27.6">
      <c r="A35" s="95" t="s">
        <v>164</v>
      </c>
      <c r="B35" s="95" t="s">
        <v>163</v>
      </c>
      <c r="C35" s="95" t="s">
        <v>162</v>
      </c>
      <c r="D35" s="95" t="s">
        <v>161</v>
      </c>
      <c r="E35" s="92"/>
      <c r="F35" s="92"/>
    </row>
    <row r="36" spans="1:6" ht="27.6">
      <c r="A36" s="95" t="s">
        <v>160</v>
      </c>
      <c r="B36" s="95" t="s">
        <v>159</v>
      </c>
      <c r="C36" s="95" t="s">
        <v>158</v>
      </c>
      <c r="D36" s="95" t="s">
        <v>157</v>
      </c>
      <c r="E36" s="92"/>
      <c r="F36" s="92"/>
    </row>
    <row r="37" spans="1:6" ht="27.6">
      <c r="A37" s="95" t="s">
        <v>156</v>
      </c>
      <c r="B37" s="95" t="s">
        <v>155</v>
      </c>
      <c r="C37" s="95" t="s">
        <v>154</v>
      </c>
      <c r="D37" s="95" t="s">
        <v>153</v>
      </c>
      <c r="E37" s="92"/>
      <c r="F37" s="92"/>
    </row>
    <row r="38" spans="1:6" ht="27.6">
      <c r="A38" s="95" t="s">
        <v>152</v>
      </c>
      <c r="B38" s="95" t="s">
        <v>151</v>
      </c>
      <c r="C38" s="95" t="s">
        <v>150</v>
      </c>
      <c r="D38" s="95" t="s">
        <v>149</v>
      </c>
      <c r="E38" s="92"/>
      <c r="F38" s="92"/>
    </row>
    <row r="39" spans="1:6" ht="27.6">
      <c r="A39" s="95" t="s">
        <v>148</v>
      </c>
      <c r="B39" s="95" t="s">
        <v>147</v>
      </c>
      <c r="C39" s="95" t="s">
        <v>146</v>
      </c>
      <c r="D39" s="95" t="s">
        <v>145</v>
      </c>
      <c r="E39" s="92"/>
      <c r="F39" s="92"/>
    </row>
    <row r="40" spans="1:6">
      <c r="A40" s="95"/>
      <c r="B40" s="95"/>
      <c r="C40" s="95"/>
      <c r="D40" s="95"/>
      <c r="E40" s="92"/>
      <c r="F40" s="92"/>
    </row>
    <row r="41" spans="1:6" ht="27.6">
      <c r="A41" s="95" t="s">
        <v>144</v>
      </c>
      <c r="B41" s="95" t="s">
        <v>143</v>
      </c>
      <c r="C41" s="95" t="s">
        <v>142</v>
      </c>
      <c r="D41" s="95" t="s">
        <v>141</v>
      </c>
      <c r="E41" s="92"/>
      <c r="F41" s="92"/>
    </row>
    <row r="42" spans="1:6">
      <c r="A42" s="96"/>
      <c r="B42" s="96"/>
      <c r="C42" s="96"/>
      <c r="D42" s="96"/>
      <c r="E42" s="93"/>
      <c r="F42" s="93"/>
    </row>
    <row r="43" spans="1:6">
      <c r="A43" s="93"/>
      <c r="B43" s="93"/>
      <c r="C43" s="93"/>
      <c r="D43" s="93"/>
      <c r="E43" s="93"/>
      <c r="F43" s="93"/>
    </row>
  </sheetData>
  <mergeCells count="4">
    <mergeCell ref="A1:N1"/>
    <mergeCell ref="D3:G3"/>
    <mergeCell ref="A23:N23"/>
    <mergeCell ref="A32:F32"/>
  </mergeCells>
  <conditionalFormatting sqref="E7">
    <cfRule type="cellIs" dxfId="2" priority="1" operator="notEqual">
      <formula>0</formula>
    </cfRule>
  </conditionalFormatting>
  <conditionalFormatting sqref="N13:N19">
    <cfRule type="cellIs" dxfId="1" priority="2" operator="greaterThan">
      <formula>0</formula>
    </cfRule>
    <cfRule type="cellIs" dxfId="0" priority="3" operator="lessThan">
      <formula>0</formula>
    </cfRule>
  </conditionalFormatting>
  <dataValidations count="1">
    <dataValidation type="list" sqref="H13:H18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Simulation 1</vt:lpstr>
      <vt:lpstr>Options 1-3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freiha</cp:lastModifiedBy>
  <dcterms:modified xsi:type="dcterms:W3CDTF">2026-06-15T14:30:44Z</dcterms:modified>
</cp:coreProperties>
</file>